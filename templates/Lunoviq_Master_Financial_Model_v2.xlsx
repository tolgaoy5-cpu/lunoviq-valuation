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343ff548a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58324f8341c43ea"/>
    <x:sheet xmlns:r="http://schemas.openxmlformats.org/officeDocument/2006/relationships" name="01_Inputs_Historicals" sheetId="2" r:id="Rec8a4e377782423f"/>
    <x:sheet xmlns:r="http://schemas.openxmlformats.org/officeDocument/2006/relationships" name="02_Operating_Model" sheetId="3" r:id="R37ec45e7577a413e"/>
    <x:sheet xmlns:r="http://schemas.openxmlformats.org/officeDocument/2006/relationships" name="03_3_Statement_Model" sheetId="4" r:id="Rc67dbaf943514340"/>
    <x:sheet xmlns:r="http://schemas.openxmlformats.org/officeDocument/2006/relationships" name="04_DCF_Valuation" sheetId="5" r:id="Rb115fa064ae14090"/>
    <x:sheet xmlns:r="http://schemas.openxmlformats.org/officeDocument/2006/relationships" name="05_Sensitivity" sheetId="6" r:id="R40de521466ef436d"/>
    <x:sheet xmlns:r="http://schemas.openxmlformats.org/officeDocument/2006/relationships" name="06_Comparable_Valuation" sheetId="7" r:id="R691cf40984d94aa9"/>
    <x:sheet xmlns:r="http://schemas.openxmlformats.org/officeDocument/2006/relationships" name="07_Analysis_Scenarios" sheetId="8" r:id="R71b1d4392f004580"/>
    <x:sheet xmlns:r="http://schemas.openxmlformats.org/officeDocument/2006/relationships" name="08_Data_Feed" sheetId="9" r:id="RdataFeed001"/>
  </x:sheets>
  <x:definedNames>
    <x:definedName name="ctl_Scenario">'00_Dashboard'!$B$8</x:definedName>
    <x:definedName name="ctl_ValuationMethod">'00_Dashboard'!$B$9</x:definedName>
    <x:definedName name="ctl_SharePrice">'00_Dashboard'!$B$10</x:definedName>
    <x:definedName name="ctl_RevenueEngine">'00_Dashboard'!$B$12</x:definedName>
    <x:definedName name="hist_Volume">'01_Inputs_Historicals'!$B$7:$D$7</x:definedName>
    <x:definedName name="hist_Price">'01_Inputs_Historicals'!$B$8:$D$8</x:definedName>
    <x:definedName name="hist_Materials">'01_Inputs_Historicals'!$B$9:$D$9</x:definedName>
    <x:definedName name="hist_Packaging">'01_Inputs_Historicals'!$B$10:$D$10</x:definedName>
    <x:definedName name="hist_Transport">'01_Inputs_Historicals'!$B$11:$D$11</x:definedName>
    <x:definedName name="hist_Labour">'01_Inputs_Historicals'!$B$12:$D$12</x:definedName>
    <x:definedName name="hist_Utilities">'01_Inputs_Historicals'!$B$13:$D$13</x:definedName>
    <x:definedName name="hist_Insurance">'01_Inputs_Historicals'!$B$14:$D$14</x:definedName>
    <x:definedName name="hist_Revenue">'01_Inputs_Historicals'!$B$18:$D$18</x:definedName>
    <x:definedName name="hist_SGA">'01_Inputs_Historicals'!$B$19:$D$19</x:definedName>
    <x:definedName name="hist_OtherOpEx">'01_Inputs_Historicals'!$B$20:$D$20</x:definedName>
    <x:definedName name="hist_Depreciation">'01_Inputs_Historicals'!$B$21:$D$21</x:definedName>
    <x:definedName name="hist_InterestExpense">'01_Inputs_Historicals'!$B$22:$D$22</x:definedName>
    <x:definedName name="hist_CurrentTax">'01_Inputs_Historicals'!$B$23:$D$23</x:definedName>
    <x:definedName name="hist_Cash">'01_Inputs_Historicals'!$B$24:$D$24</x:definedName>
    <x:definedName name="hist_AR">'01_Inputs_Historicals'!$B$25:$D$25</x:definedName>
    <x:definedName name="hist_Inventory">'01_Inputs_Historicals'!$B$26:$D$26</x:definedName>
    <x:definedName name="hist_PPE">'01_Inputs_Historicals'!$B$27:$D$27</x:definedName>
    <x:definedName name="hist_AP">'01_Inputs_Historicals'!$B$28:$D$28</x:definedName>
    <x:definedName name="hist_Debt">'01_Inputs_Historicals'!$B$29:$D$29</x:definedName>
    <x:definedName name="hist_DTL">'01_Inputs_Historicals'!$B$30:$D$30</x:definedName>
    <x:definedName name="hist_EquityCapital">'01_Inputs_Historicals'!$B$31:$D$31</x:definedName>
    <x:definedName name="hist_RetainedEarnings">'01_Inputs_Historicals'!$B$32:$D$32</x:definedName>
    <x:definedName name="hist_TaxLossCF">'01_Inputs_Historicals'!$B$33:$D$33</x:definedName>
    <x:definedName name="hist_TaxBasisPPE">'01_Inputs_Historicals'!$B$34:$D$34</x:definedName>
    <x:definedName name="drv_Days">'01_Inputs_Historicals'!$C$38:$G$38</x:definedName>
    <x:definedName name="drv_VolumeGrowth">'01_Inputs_Historicals'!$C$39:$G$39</x:definedName>
    <x:definedName name="drv_Capacity">'01_Inputs_Historicals'!$C$40:$G$40</x:definedName>
    <x:definedName name="drv_PriceIncrease">'01_Inputs_Historicals'!$C$41:$G$41</x:definedName>
    <x:definedName name="drv_Inflation">'01_Inputs_Historicals'!$C$42:$G$42</x:definedName>
    <x:definedName name="drv_SGApct">'01_Inputs_Historicals'!$C$43:$G$43</x:definedName>
    <x:definedName name="drv_OtherOpExPct">'01_Inputs_Historicals'!$C$44:$G$44</x:definedName>
    <x:definedName name="drv_DSO">'01_Inputs_Historicals'!$C$45:$G$45</x:definedName>
    <x:definedName name="drv_DIO">'01_Inputs_Historicals'!$C$46:$G$46</x:definedName>
    <x:definedName name="drv_DPO">'01_Inputs_Historicals'!$C$47:$G$47</x:definedName>
    <x:definedName name="drv_CapexPct">'01_Inputs_Historicals'!$C$48:$G$48</x:definedName>
    <x:definedName name="drv_LifeExisting">'01_Inputs_Historicals'!$C$49:$G$49</x:definedName>
    <x:definedName name="drv_LifeNew">'01_Inputs_Historicals'!$C$50:$G$50</x:definedName>
    <x:definedName name="drv_FirstYearDep">'01_Inputs_Historicals'!$C$51:$G$51</x:definedName>
    <x:definedName name="drv_TaxRate">'01_Inputs_Historicals'!$C$52:$G$52</x:definedName>
    <x:definedName name="drv_Payout">'01_Inputs_Historicals'!$C$53:$G$53</x:definedName>
    <x:definedName name="drv_DebtRepayment">'01_Inputs_Historicals'!$C$54:$G$54</x:definedName>
    <x:definedName name="drv_NewBorrowing">'01_Inputs_Historicals'!$C$55:$G$55</x:definedName>
    <x:definedName name="val_RiskFree">'01_Inputs_Historicals'!$C$59</x:definedName>
    <x:definedName name="val_ERP">'01_Inputs_Historicals'!$C$60</x:definedName>
    <x:definedName name="val_Beta">'01_Inputs_Historicals'!$C$61</x:definedName>
    <x:definedName name="val_CostOfDebt">'01_Inputs_Historicals'!$C$62</x:definedName>
    <x:definedName name="val_DebtWeight">'01_Inputs_Historicals'!$C$63</x:definedName>
    <x:definedName name="val_EquityWeight">'01_Inputs_Historicals'!$C$64</x:definedName>
    <x:definedName name="val_TerminalGrowth">'01_Inputs_Historicals'!$C$65</x:definedName>
    <x:definedName name="val_ExitMultiple">'01_Inputs_Historicals'!$C$66</x:definedName>
    <x:definedName name="val_Shares">'01_Inputs_Historicals'!$C$67</x:definedName>
    <x:definedName name="scn_RevGrowthDelta">'01_Inputs_Historicals'!$B$72:$D$72</x:definedName>
    <x:definedName name="scn_PriceDelta">'01_Inputs_Historicals'!$B$73:$D$73</x:definedName>
    <x:definedName name="scn_CogsMarginDelta">'01_Inputs_Historicals'!$B$74:$D$74</x:definedName>
    <x:definedName name="scn_TerminalGrowthDelta">'01_Inputs_Historicals'!$B$75:$D$75</x:definedName>
    <x:definedName name="fin_MinCash">'01_Inputs_Historicals'!$C$80</x:definedName>
    <x:definedName name="fin_MaxRevolver">'01_Inputs_Historicals'!$C$81</x:definedName>
    <x:definedName name="fin_CashRate">'01_Inputs_Historicals'!$C$82</x:definedName>
    <x:definedName name="fin_RevolverRate">'01_Inputs_Historicals'!$C$83</x:definedName>
    <x:definedName name="fin_CircularitySwitch">'01_Inputs_Historicals'!$C$84</x:definedName>
    <x:definedName name="fin_EquityChange">'01_Inputs_Historicals'!$C$85</x:definedName>
    <x:definedName name="fin_CashSweep">'01_Inputs_Historicals'!$C$87</x:definedName>
    <x:definedName name="cap_Trigger">'01_Inputs_Historicals'!$C$92</x:definedName>
    <x:definedName name="cap_BlockSize">'01_Inputs_Historicals'!$C$93</x:definedName>
    <x:definedName name="cap_UnitCost">'01_Inputs_Historicals'!$C$94</x:definedName>
    <x:definedName name="gm_RevenueGrowth">'01_Inputs_Historicals'!$C$100:$G$100</x:definedName>
    <x:definedName name="gm_CogsMargin">'01_Inputs_Historicals'!$C$101:$G$101</x:definedName>
    <x:definedName name="feed_Company">'08_Data_Feed'!$B$3</x:definedName>
    <x:definedName name="feed_CIK">'08_Data_Feed'!$E$3</x:definedName>
    <x:definedName name="feed_FetchedAt">'08_Data_Feed'!$H$3</x:definedName>
    <x:definedName name="feed_Years">'08_Data_Feed'!$B$4</x:definedName>
    <x:definedName name="feed_Revenue">'08_Data_Feed'!$C$7:$E$7</x:definedName>
    <x:definedName name="feed_CostofGoodsSold">'08_Data_Feed'!$C$8:$E$8</x:definedName>
    <x:definedName name="feed_SGAndA">'08_Data_Feed'!$C$9:$E$9</x:definedName>
    <x:definedName name="feed_OtherOperatingExpense">'08_Data_Feed'!$C$10:$E$10</x:definedName>
    <x:definedName name="feed_DepreciationAndAmortisation">'08_Data_Feed'!$C$11:$E$11</x:definedName>
    <x:definedName name="feed_InterestExpense">'08_Data_Feed'!$C$12:$E$12</x:definedName>
    <x:definedName name="feed_CurrentIncomeTax">'08_Data_Feed'!$C$13:$E$13</x:definedName>
    <x:definedName name="feed_NetIncome">'08_Data_Feed'!$C$14:$E$14</x:definedName>
    <x:definedName name="feed_CashAndEquivalents">'08_Data_Feed'!$C$16:$E$16</x:definedName>
    <x:definedName name="feed_AccountsReceivable">'08_Data_Feed'!$C$17:$E$17</x:definedName>
    <x:definedName name="feed_Inventory">'08_Data_Feed'!$C$18:$E$18</x:definedName>
    <x:definedName name="feed_PPAndEnet">'08_Data_Feed'!$C$19:$E$19</x:definedName>
    <x:definedName name="feed_AccountsPayable">'08_Data_Feed'!$C$20:$E$20</x:definedName>
    <x:definedName name="feed_TotalDebt">'08_Data_Feed'!$C$21:$E$21</x:definedName>
    <x:definedName name="feed_DeferredTaxLiability">'08_Data_Feed'!$C$22:$E$22</x:definedName>
    <x:definedName name="feed_CommonEquity">'08_Data_Feed'!$C$23:$E$23</x:definedName>
    <x:definedName name="feed_RetainedEarnings">'08_Data_Feed'!$C$24:$E$24</x:definedName>
    <x:definedName name="feed_TaxLossCarryforward">'08_Data_Feed'!$C$25:$E$25</x:definedName>
    <x:definedName name="feed_SharesOutstanding">'08_Data_Feed'!$C$26:$E$26</x:definedName>
  </x:definedNames>
  <x:calcPr calcId="0" fullCalcOnLoad="1" iterate="1" iterateCount="100" iterateDelta="0.00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0.00;[Red]($0.00);-"/>
    <x:numFmt numFmtId="201" formatCode="#,##0;[Red](#,##0);-"/>
    <x:numFmt numFmtId="202" formatCode="0.0%;[Red](0.0%);-"/>
    <x:numFmt numFmtId="203" formatCode="0.00x"/>
    <x:numFmt numFmtId="204" formatCode="0.0x"/>
    <x:numFmt numFmtId="205" formatCode="0.0"/>
    <x:numFmt numFmtId="206" formatCode="0.0%"/>
    <x:numFmt numFmtId="207" formatCode="#,##0.0;[Red](#,##0.0);-"/>
    <x:numFmt numFmtId="208" formatCode="$0.00"/>
    <x:numFmt numFmtId="209" formatCode="$#,##0;[Red]($#,##0);-"/>
  </x:numFmts>
  <x:fonts count="52">
    <x:font>
      <x:sz val="11"/>
      <x:name val="Carlito"/>
    </x:font>
    <x:font>
      <x:b/>
      <x:sz val="16"/>
      <x:color rgb="FF4F81BD"/>
      <x:name val="Arial"/>
    </x:font>
    <x:font>
      <x:b/>
      <x:sz val="10"/>
      <x:color rgb="FF4F81BD"/>
      <x:name val="Arial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4F81BD"/>
      <x:name val="Carlito"/>
    </x:font>
    <x:font>
      <x:b/>
      <x:sz val="10"/>
      <x:color rgb="FF000000"/>
      <x:name val="Arial"/>
    </x:font>
    <x:font>
      <x:sz val="10"/>
      <x:color rgb="FF000000"/>
      <x:name val="Arial"/>
    </x:font>
    <x:font>
      <x:b/>
      <x:sz val="12"/>
      <x:color rgb="FFFFFFFF"/>
      <x:name val="Arial"/>
    </x:font>
    <x:font>
      <x:b/>
      <x:sz val="12"/>
      <x:color rgb="FF4F81BD"/>
      <x:name val="Arial"/>
    </x:font>
    <x:font>
      <x:sz val="10"/>
      <x:color rgb="FF0000FF"/>
      <x:name val="Arial"/>
    </x:font>
    <x:font>
      <x:b/>
      <x:sz val="10"/>
      <x:color rgb="FF0000FF"/>
      <x:name val="Arial"/>
    </x:font>
    <x:font>
      <x:i/>
      <x:sz val="10"/>
      <x:color rgb="FF000000"/>
      <x:name val="Arial"/>
    </x:font>
    <x:font>
      <x:i/>
      <x:sz val="10"/>
      <x:color rgb="FF0000FF"/>
      <x:name val="Arial"/>
    </x:font>
    <x:font>
      <x:b/>
      <x:sz val="13"/>
      <x:color rgb="FFFFFFFF"/>
      <x:name val="Arial"/>
    </x:font>
    <x:font>
      <x:b/>
      <x:sz val="12"/>
      <x:color rgb="FF000000"/>
      <x:name val="Arial"/>
    </x:font>
    <x:font>
      <x:b/>
      <x:sz val="12"/>
      <x:color rgb="FF4F81BD"/>
      <x:name val="Carlito"/>
    </x:font>
    <x:font>
      <x:b/>
      <x:sz val="15"/>
      <x:color rgb="FFFFFFFF"/>
      <x:name val="Arial"/>
    </x:font>
    <x:font>
      <x:i/>
      <x:sz val="9"/>
      <x:color rgb="FF44546A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44546A"/>
      <x:name val="Arial"/>
    </x:font>
    <x:font>
      <x:b/>
      <x:sz val="9"/>
      <x:color rgb="FF44546A"/>
      <x:name val="Arial"/>
    </x:font>
    <x:font>
      <x:b/>
      <x:sz val="18"/>
      <x:color rgb="FF0B1F3A"/>
      <x:name val="Arial"/>
    </x:font>
    <x:font>
      <x:sz val="1"/>
      <x:color rgb="FFFFFFFF"/>
      <x:name val="Carlito"/>
    </x:font>
    <x:font>
      <x:b/>
      <x:sz val="10"/>
      <x:color rgb="FF0B1F3A"/>
      <x:name val="Arial"/>
    </x:font>
    <x:font>
      <x:sz val="1"/>
      <x:color rgb="FF000000"/>
      <x:name val="Carlito"/>
    </x:font>
    <x:font>
      <x:b/>
      <x:sz val="18"/>
      <x:color rgb="FF000000"/>
      <x:name val="Arial"/>
    </x:font>
    <x:font>
      <x:b/>
      <x:sz val="10"/>
      <x:color rgb="FF0000FF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sz val="11"/>
      <x:color rgb="FF0000FF"/>
      <x:name val="Carlito"/>
    </x:font>
    <x:font>
      <x:sz val="1"/>
      <x:color rgb="FF000000"/>
      <x:name val="Carlito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i/>
      <x:sz val="10"/>
      <x:color rgb="FF0000FF"/>
      <x:name val="Arial"/>
    </x:font>
    <x:font>
      <x:b/>
      <x:sz val="10"/>
      <x:color rgb="FF0000FF"/>
      <x:name val="Arial"/>
    </x:font>
    <x:font>
      <x:b/>
      <x:sz val="12"/>
      <x:color rgb="FF000000"/>
      <x:name val="Arial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EF5FB"/>
      </x:patternFill>
    </x:fill>
    <x:fill>
      <x:patternFill patternType="solid">
        <x:fgColor rgb="FFFFF9E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0B1F3A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7E6"/>
      </x:patternFill>
    </x:fill>
    <x:fill>
      <x:patternFill patternType="solid">
        <x:fgColor rgb="FFF4F8FC"/>
      </x:patternFill>
    </x:fill>
    <x:fill>
      <x:patternFill patternType="solid">
        <x:fgColor rgb="FFEAF3F8"/>
      </x:patternFill>
    </x:fill>
  </x:fills>
  <x:borders count="70">
    <x:border/>
    <x:border/>
    <x:border>
      <x:bottom style="thin">
        <x:color rgb="FF4F81BD"/>
      </x:bottom>
    </x:border>
    <x:border>
      <x:bottom style="thin">
        <x:color rgb="FF4F81BD"/>
      </x:bottom>
    </x:border>
    <x:border>
      <x:bottom style="medium">
        <x:color rgb="FF4F81BD"/>
      </x:bottom>
    </x:border>
    <x:border>
      <x:bottom style="medium">
        <x:color rgb="FF4F81BD"/>
      </x:bottom>
    </x:border>
    <x:border>
      <x:top style="thin">
        <x:color rgb="FF000000"/>
      </x:top>
    </x:border>
    <x:border>
      <x:top style="thin">
        <x:color rgb="FF000000"/>
      </x:top>
    </x:border>
    <x:border>
      <x:bottom style="thin">
        <x:color rgb="FFD9EAF7"/>
      </x:bottom>
    </x:border>
    <x:border>
      <x:left style="thin">
        <x:color rgb="FF4F81BD"/>
      </x:left>
      <x:bottom style="medium">
        <x:color rgb="FF4F81BD"/>
      </x:bottom>
    </x:border>
    <x:border>
      <x:left style="thin">
        <x:color rgb="FF4F81BD"/>
      </x:left>
    </x:border>
    <x:border>
      <x:left style="thin">
        <x:color rgb="FF4F81BD"/>
      </x:left>
      <x:bottom style="thin">
        <x:color rgb="FFD9EAF7"/>
      </x:bottom>
    </x:border>
    <x:border>
      <x:left style="thin">
        <x:color rgb="FF4F81BD"/>
      </x:left>
      <x:top style="thin">
        <x:color rgb="FF000000"/>
      </x:top>
    </x:border>
    <x:border>
      <x:left style="thin">
        <x:color rgb="FF4F81BD"/>
      </x:left>
      <x:top style="thin">
        <x:color rgb="FF000000"/>
      </x:top>
      <x:bottom style="medium">
        <x:color rgb="FF4F81BD"/>
      </x:bottom>
    </x:border>
    <x:border>
      <x:top style="double">
        <x:color rgb="FF000000"/>
      </x:top>
    </x:border>
    <x:border>
      <x:left style="thin">
        <x:color rgb="FF4F81BD"/>
      </x:left>
      <x:top style="double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double">
        <x:color rgb="FF000000"/>
      </x:top>
    </x:border>
    <x:border>
      <x:right style="thin">
        <x:color rgb="FF000000"/>
      </x:right>
      <x:top style="double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bottom style="thin">
        <x:color rgb="FFD9D9D9"/>
      </x:bottom>
    </x:border>
    <x:border>
      <x:left style="thin">
        <x:color rgb="FFB8CCE4"/>
      </x:left>
      <x:top style="thin">
        <x:color rgb="FFB8CCE4"/>
      </x:top>
    </x:border>
    <x:border>
      <x:right style="thin">
        <x:color rgb="FFB8CCE4"/>
      </x:right>
      <x:top style="thin">
        <x:color rgb="FFB8CCE4"/>
      </x:top>
    </x:border>
    <x:border>
      <x:left style="thin">
        <x:color rgb="FFB8CCE4"/>
      </x:left>
    </x:border>
    <x:border>
      <x:right style="thin">
        <x:color rgb="FFB8CCE4"/>
      </x:right>
    </x:border>
    <x:border>
      <x:left style="thin">
        <x:color rgb="FFB8CCE4"/>
      </x:left>
      <x:bottom style="thin">
        <x:color rgb="FFB8CCE4"/>
      </x:bottom>
    </x:border>
    <x:border>
      <x:right style="thin">
        <x:color rgb="FFB8CCE4"/>
      </x:right>
      <x:bottom style="thin">
        <x:color rgb="FFB8CCE4"/>
      </x:bottom>
    </x:border>
    <x:border>
      <x:left style="medium">
        <x:color rgb="FF2F75B5"/>
      </x:left>
      <x:right style="thin">
        <x:color rgb="FFB8CCE4"/>
      </x:right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  <x:right style="thin">
        <x:color rgb="FFB8CCE4"/>
      </x:right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thin">
        <x:color rgb="FFC9D2DE"/>
      </x:left>
      <x:right style="thin">
        <x:color rgb="FFC9D2DE"/>
      </x:right>
      <x:top style="thin">
        <x:color rgb="FFC9D2DE"/>
      </x:top>
      <x:bottom style="thin">
        <x:color rgb="FFC9D2DE"/>
      </x:bottom>
    </x:border>
    <x:border>
      <x:top style="thin">
        <x:color rgb="FFB8CCE4"/>
      </x:top>
    </x:border>
    <x:border>
      <x:left style="thin">
        <x:color rgb="FFB8CCE4"/>
      </x:left>
      <x:bottom style="thin">
        <x:color rgb="FFE6EAF0"/>
      </x:bottom>
    </x:border>
    <x:border>
      <x:right style="thin">
        <x:color rgb="FFB8CCE4"/>
      </x:right>
      <x:bottom style="thin">
        <x:color rgb="FFE6EAF0"/>
      </x:bottom>
    </x:border>
    <x:border>
      <x:bottom style="thin">
        <x:color rgb="FFE6EAF0"/>
      </x:bottom>
    </x:border>
    <x:border>
      <x:left style="thin">
        <x:color rgb="FFC9D2DE"/>
      </x:left>
      <x:top style="thin">
        <x:color rgb="FFC9D2DE"/>
      </x:top>
    </x:border>
    <x:border>
      <x:right style="thin">
        <x:color rgb="FFB8CCE4"/>
      </x:right>
      <x:top style="thin">
        <x:color rgb="FFC9D2DE"/>
      </x:top>
    </x:border>
    <x:border>
      <x:right style="thin">
        <x:color rgb="FFC9D2DE"/>
      </x:right>
      <x:top style="thin">
        <x:color rgb="FFC9D2DE"/>
      </x:top>
    </x:border>
    <x:border>
      <x:left style="thin">
        <x:color rgb="FFC9D2DE"/>
      </x:left>
      <x:bottom style="medium">
        <x:color rgb="FF2F75B5"/>
      </x:bottom>
    </x:border>
    <x:border>
      <x:right style="thin">
        <x:color rgb="FFB8CCE4"/>
      </x:right>
      <x:bottom style="medium">
        <x:color rgb="FF2F75B5"/>
      </x:bottom>
    </x:border>
    <x:border>
      <x:right style="thin">
        <x:color rgb="FFC9D2DE"/>
      </x:right>
      <x:bottom style="medium">
        <x:color rgb="FF2F75B5"/>
      </x:bottom>
    </x:border>
    <x:border>
      <x:bottom style="medium">
        <x:color rgb="FF2F75B5"/>
      </x:bottom>
    </x:border>
    <x:border>
      <x:left style="thin">
        <x:color rgb="FF4F81BD"/>
      </x:left>
      <x:bottom style="thin">
        <x:color rgb="FFE6EAF0"/>
      </x:bottom>
    </x:border>
    <x:border>
      <x:top style="thin">
        <x:color rgb="FF000000"/>
      </x:top>
      <x:bottom style="thin">
        <x:color rgb="FFE6EAF0"/>
      </x:bottom>
    </x:border>
    <x:border>
      <x:left style="thin">
        <x:color rgb="FF4F81BD"/>
      </x:left>
      <x:top style="thin">
        <x:color rgb="FF000000"/>
      </x:top>
      <x:bottom style="thin">
        <x:color rgb="FFE6EAF0"/>
      </x:bottom>
    </x:border>
    <x:border>
      <x:top style="double">
        <x:color rgb="FF000000"/>
      </x:top>
      <x:bottom style="thin">
        <x:color rgb="FFE6EAF0"/>
      </x:bottom>
    </x:border>
    <x:border>
      <x:left style="thin">
        <x:color rgb="FF4F81BD"/>
      </x:left>
      <x:top style="double">
        <x:color rgb="FF000000"/>
      </x:top>
      <x:bottom style="thin">
        <x:color rgb="FFE6EAF0"/>
      </x:bottom>
    </x:border>
    <x:border>
      <x:top style="medium">
        <x:color rgb="FF7F7F7F"/>
      </x:top>
      <x:bottom style="thin">
        <x:color rgb="FFE6EAF0"/>
      </x:bottom>
    </x:border>
    <x:border>
      <x:left style="thin">
        <x:color rgb="FF4F81BD"/>
      </x:left>
      <x:top style="medium">
        <x:color rgb="FF7F7F7F"/>
      </x:top>
      <x:bottom style="thin">
        <x:color rgb="FFE6EAF0"/>
      </x:bottom>
    </x:border>
    <x:border>
      <x:left style="thin">
        <x:color rgb="FF000000"/>
      </x:left>
      <x:top style="thin">
        <x:color rgb="FF000000"/>
      </x:top>
      <x:bottom style="thin">
        <x:color rgb="FFE6EAF0"/>
      </x:bottom>
    </x:border>
    <x:border>
      <x:right style="thin">
        <x:color rgb="FF000000"/>
      </x:right>
      <x:top style="thin">
        <x:color rgb="FF000000"/>
      </x:top>
      <x:bottom style="thin">
        <x:color rgb="FFE6EAF0"/>
      </x:bottom>
    </x:border>
    <x:border>
      <x:left style="thin">
        <x:color rgb="FF000000"/>
      </x:left>
      <x:bottom style="thin">
        <x:color rgb="FFE6EAF0"/>
      </x:bottom>
    </x:border>
    <x:border>
      <x:right style="thin">
        <x:color rgb="FF000000"/>
      </x:right>
      <x:bottom style="thin">
        <x:color rgb="FFE6EAF0"/>
      </x:bottom>
    </x:border>
    <x:border>
      <x:left style="thin">
        <x:color rgb="FF000000"/>
      </x:left>
      <x:top style="double">
        <x:color rgb="FF000000"/>
      </x:top>
      <x:bottom style="thin">
        <x:color rgb="FFE6EAF0"/>
      </x:bottom>
    </x:border>
    <x:border>
      <x:right style="thin">
        <x:color rgb="FF000000"/>
      </x:right>
      <x:top style="double">
        <x:color rgb="FF000000"/>
      </x:top>
      <x:bottom style="thin">
        <x:color rgb="FFE6EAF0"/>
      </x:bottom>
    </x:border>
    <x:border>
      <x:left style="thin">
        <x:color rgb="FF000000"/>
      </x:left>
      <x:top style="medium">
        <x:color rgb="FF7F7F7F"/>
      </x:top>
      <x:bottom style="thin">
        <x:color rgb="FFE6EAF0"/>
      </x:bottom>
    </x:border>
    <x:border>
      <x:right style="thin">
        <x:color rgb="FF000000"/>
      </x:right>
      <x:top style="medium">
        <x:color rgb="FF7F7F7F"/>
      </x:top>
      <x:bottom style="thin">
        <x:color rgb="FFE6EAF0"/>
      </x:bottom>
    </x:border>
    <x:border>
      <x:top style="thin">
        <x:color rgb="FFC9D2DE"/>
      </x:top>
    </x:border>
    <x:border>
      <x:left style="thin">
        <x:color rgb="FFC9D2DE"/>
      </x:left>
    </x:border>
    <x:border>
      <x:right style="thin">
        <x:color rgb="FFC9D2DE"/>
      </x:right>
    </x:border>
    <x:border>
      <x:left style="thin">
        <x:color rgb="FFC9D2DE"/>
      </x:left>
      <x:bottom style="thin">
        <x:color rgb="FFC9D2DE"/>
      </x:bottom>
    </x:border>
    <x:border>
      <x:bottom style="thin">
        <x:color rgb="FFC9D2DE"/>
      </x:bottom>
    </x:border>
    <x:border>
      <x:right style="thin">
        <x:color rgb="FFC9D2DE"/>
      </x:right>
      <x:bottom style="thin">
        <x:color rgb="FFC9D2DE"/>
      </x:bottom>
    </x:border>
  </x:borders>
  <x:cellStyleXfs count="1">
    <x:xf numFmtId="0" fontId="0" fillId="0" borderId="0"/>
  </x:cellStyleXfs>
  <x:cellXfs count="1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0" fontId="5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/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horizontal="right"/>
    </x:xf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left"/>
    </x:xf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 applyAlignment="1">
      <x:alignment horizontal="right"/>
    </x:xf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left"/>
    </x:xf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horizontal="left"/>
    </x:xf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4" fontId="4" fillId="0" borderId="0" xfId="0" applyNumberFormat="1" applyFont="1" applyFill="1" applyBorder="1" applyAlignment="1">
      <x:alignment horizontal="right"/>
    </x:xf>
    <x:xf numFmtId="204" fontId="4" fillId="0" borderId="1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horizontal="right"/>
    </x:xf>
    <x:xf numFmtId="0" fontId="0" fillId="0" borderId="7" xfId="0" applyNumberFormat="1" applyFont="1" applyFill="1" applyBorder="1"/>
    <x:xf numFmtId="201" fontId="0" fillId="0" borderId="7" xfId="0" applyNumberFormat="1" applyFont="1" applyFill="1" applyBorder="1" applyAlignment="1">
      <x:alignment horizontal="right"/>
    </x:xf>
    <x:xf numFmtId="0" fontId="6" fillId="0" borderId="6" xfId="0" applyNumberFormat="1" applyFont="1" applyFill="1" applyBorder="1"/>
    <x:xf numFmtId="201" fontId="6" fillId="0" borderId="6" xfId="0" applyNumberFormat="1" applyFont="1" applyFill="1" applyBorder="1" applyAlignment="1">
      <x:alignment horizontal="right"/>
    </x:xf>
    <x:xf numFmtId="0" fontId="6" fillId="0" borderId="7" xfId="0" applyNumberFormat="1" applyFont="1" applyFill="1" applyBorder="1"/>
    <x:xf numFmtId="201" fontId="6" fillId="0" borderId="7" xfId="0" applyNumberFormat="1" applyFont="1" applyFill="1" applyBorder="1" applyAlignment="1">
      <x:alignment horizontal="right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6" xfId="0" applyNumberFormat="1" applyFont="1" applyFill="1" applyBorder="1" applyAlignment="1">
      <x:alignment horizontal="right"/>
    </x:xf>
    <x:xf numFmtId="202" fontId="0" fillId="0" borderId="7" xfId="0" applyNumberFormat="1" applyFont="1" applyFill="1" applyBorder="1" applyAlignment="1">
      <x:alignment horizontal="right"/>
    </x:xf>
    <x:xf numFmtId="202" fontId="6" fillId="0" borderId="6" xfId="0" applyNumberFormat="1" applyFont="1" applyFill="1" applyBorder="1" applyAlignment="1">
      <x:alignment horizontal="right"/>
    </x:xf>
    <x:xf numFmtId="202" fontId="6" fillId="0" borderId="7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0" fillId="5" borderId="0" xfId="0" applyNumberFormat="1" applyFont="1" applyFill="1" applyBorder="1"/>
    <x:xf numFmtId="0" fontId="6" fillId="5" borderId="4" xfId="0" applyNumberFormat="1" applyFont="1" applyFill="1" applyBorder="1" applyAlignment="1">
      <x:alignment horizontal="right"/>
    </x:xf>
    <x:xf numFmtId="0" fontId="3" fillId="5" borderId="2" xfId="0" applyNumberFormat="1" applyFont="1" applyFill="1" applyBorder="1" applyAlignment="1">
      <x:alignment horizontal="left"/>
    </x:xf>
    <x:xf numFmtId="201" fontId="0" fillId="5" borderId="0" xfId="0" applyNumberFormat="1" applyFont="1" applyFill="1" applyBorder="1" applyAlignment="1">
      <x:alignment horizontal="right"/>
    </x:xf>
    <x:xf numFmtId="0" fontId="6" fillId="5" borderId="6" xfId="0" applyNumberFormat="1" applyFont="1" applyFill="1" applyBorder="1"/>
    <x:xf numFmtId="201" fontId="6" fillId="5" borderId="6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 applyAlignment="1">
      <x:alignment horizontal="left" vertical="center"/>
    </x:xf>
    <x:xf numFmtId="0" fontId="9" fillId="5" borderId="2" xfId="0" applyNumberFormat="1" applyFont="1" applyFill="1" applyBorder="1"/>
    <x:xf numFmtId="0" fontId="9" fillId="5" borderId="0" xfId="0" applyNumberFormat="1" applyFont="1" applyFill="1" applyBorder="1"/>
    <x:xf numFmtId="0" fontId="8" fillId="5" borderId="4" xfId="0" applyNumberFormat="1" applyFont="1" applyFill="1" applyBorder="1" applyAlignment="1">
      <x:alignment horizontal="right"/>
    </x:xf>
    <x:xf numFmtId="0" fontId="8" fillId="5" borderId="2" xfId="0" applyNumberFormat="1" applyFont="1" applyFill="1" applyBorder="1" applyAlignment="1">
      <x:alignment horizontal="left"/>
    </x:xf>
    <x:xf numFmtId="201" fontId="9" fillId="5" borderId="0" xfId="0" applyNumberFormat="1" applyFont="1" applyFill="1" applyBorder="1" applyAlignment="1">
      <x:alignment horizontal="right"/>
    </x:xf>
    <x:xf numFmtId="0" fontId="8" fillId="5" borderId="6" xfId="0" applyNumberFormat="1" applyFont="1" applyFill="1" applyBorder="1"/>
    <x:xf numFmtId="201" fontId="8" fillId="5" borderId="6" xfId="0" applyNumberFormat="1" applyFont="1" applyFill="1" applyBorder="1" applyAlignment="1">
      <x:alignment horizontal="right"/>
    </x:xf>
    <x:xf numFmtId="0" fontId="8" fillId="5" xfId="0" applyNumberFormat="1" applyFont="1" applyFill="1" applyBorder="0" applyAlignment="1">
      <x:alignment horizontal="left" vertical="center"/>
    </x:xf>
    <x:xf numFmtId="0" fontId="9" fillId="5" xfId="0" applyNumberFormat="1" applyFont="1" applyFill="1" applyBorder="0"/>
    <x:xf numFmtId="201" fontId="9" fillId="5" xfId="0" applyNumberFormat="1" applyFont="1" applyFill="1" applyBorder="0" applyAlignment="1">
      <x:alignment horizontal="right"/>
    </x:xf>
    <x:xf numFmtId="0" fontId="8" fillId="6" xfId="0" applyNumberFormat="1" applyFont="1" applyFill="1" applyBorder="0" applyAlignment="1">
      <x:alignment horizontal="left" vertical="center"/>
    </x:xf>
    <x:xf numFmtId="0" fontId="10" fillId="6" xfId="0" applyNumberFormat="1" applyFont="1" applyFill="1" applyBorder="0" applyAlignment="1">
      <x:alignment horizontal="left" vertical="center"/>
    </x:xf>
    <x:xf numFmtId="0" fontId="8" fillId="7" borderId="2" xfId="0" applyNumberFormat="1" applyFont="1" applyFill="1" applyBorder="1" applyAlignment="1">
      <x:alignment horizontal="left"/>
    </x:xf>
    <x:xf numFmtId="0" fontId="11" fillId="7" borderId="2" xfId="0" applyNumberFormat="1" applyFont="1" applyFill="1" applyBorder="1" applyAlignment="1">
      <x:alignment horizontal="left"/>
    </x:xf>
    <x:xf numFmtId="0" fontId="11" fillId="7" borderId="8" xfId="0" applyNumberFormat="1" applyFont="1" applyFill="1" applyBorder="1" applyAlignment="1">
      <x:alignment horizontal="left"/>
    </x:xf>
    <x:xf numFmtId="0" fontId="8" fillId="5" borderId="9" xfId="0" applyNumberFormat="1" applyFont="1" applyFill="1" applyBorder="1" applyAlignment="1">
      <x:alignment horizontal="right"/>
    </x:xf>
    <x:xf numFmtId="0" fontId="9" fillId="5" borderId="10" xfId="0" applyNumberFormat="1" applyFont="1" applyFill="1" applyBorder="1"/>
    <x:xf numFmtId="0" fontId="11" fillId="7" borderId="11" xfId="0" applyNumberFormat="1" applyFont="1" applyFill="1" applyBorder="1" applyAlignment="1">
      <x:alignment horizontal="left"/>
    </x:xf>
    <x:xf numFmtId="201" fontId="9" fillId="5" borderId="10" xfId="0" applyNumberFormat="1" applyFont="1" applyFill="1" applyBorder="1" applyAlignment="1">
      <x:alignment horizontal="right"/>
    </x:xf>
    <x:xf numFmtId="201" fontId="8" fillId="5" borderId="12" xfId="0" applyNumberFormat="1" applyFont="1" applyFill="1" applyBorder="1" applyAlignment="1">
      <x:alignment horizontal="right"/>
    </x:xf>
    <x:xf numFmtId="201" fontId="8" fillId="5" borderId="13" xfId="0" applyNumberFormat="1" applyFont="1" applyFill="1" applyBorder="1" applyAlignment="1">
      <x:alignment horizontal="right"/>
    </x:xf>
    <x:xf numFmtId="201" fontId="12" fillId="5" xfId="0" applyNumberFormat="1" applyFont="1" applyFill="1" applyBorder="0" applyAlignment="1">
      <x:alignment horizontal="right"/>
    </x:xf>
    <x:xf numFmtId="201" fontId="13" fillId="5" borderId="6" xfId="0" applyNumberFormat="1" applyFont="1" applyFill="1" applyBorder="1" applyAlignment="1">
      <x:alignment horizontal="right"/>
    </x:xf>
    <x:xf numFmtId="0" fontId="8" fillId="5" borderId="14" xfId="0" applyNumberFormat="1" applyFont="1" applyFill="1" applyBorder="1"/>
    <x:xf numFmtId="201" fontId="13" fillId="5" borderId="14" xfId="0" applyNumberFormat="1" applyFont="1" applyFill="1" applyBorder="1" applyAlignment="1">
      <x:alignment horizontal="right"/>
    </x:xf>
    <x:xf numFmtId="201" fontId="8" fillId="5" borderId="15" xfId="0" applyNumberFormat="1" applyFont="1" applyFill="1" applyBorder="1" applyAlignment="1">
      <x:alignment horizontal="right"/>
    </x:xf>
    <x:xf numFmtId="201" fontId="8" fillId="5" borderId="14" xfId="0" applyNumberFormat="1" applyFont="1" applyFill="1" applyBorder="1" applyAlignment="1">
      <x:alignment horizontal="right"/>
    </x:xf>
    <x:xf numFmtId="0" fontId="14" fillId="5" xfId="0" applyNumberFormat="1" applyFont="1" applyFill="1" applyBorder="0"/>
    <x:xf numFmtId="0" fontId="14" fillId="5" borderId="10" xfId="0" applyNumberFormat="1" applyFont="1" applyFill="1" applyBorder="1"/>
    <x:xf numFmtId="201" fontId="14" fillId="5" xfId="0" applyNumberFormat="1" applyFont="1" applyFill="1" applyBorder="0"/>
    <x:xf numFmtId="201" fontId="14" fillId="5" borderId="10" xfId="0" applyNumberFormat="1" applyFont="1" applyFill="1" applyBorder="1"/>
    <x:xf numFmtId="201" fontId="9" fillId="8" borderId="10" xfId="0" applyNumberFormat="1" applyFont="1" applyFill="1" applyBorder="1" applyAlignment="1">
      <x:alignment horizontal="right"/>
    </x:xf>
    <x:xf numFmtId="201" fontId="9" fillId="8" xfId="0" applyNumberFormat="1" applyFont="1" applyFill="1" applyBorder="0" applyAlignment="1">
      <x:alignment horizontal="right"/>
    </x:xf>
    <x:xf numFmtId="201" fontId="8" fillId="8" borderId="12" xfId="0" applyNumberFormat="1" applyFont="1" applyFill="1" applyBorder="1" applyAlignment="1">
      <x:alignment horizontal="right"/>
    </x:xf>
    <x:xf numFmtId="201" fontId="8" fillId="8" borderId="6" xfId="0" applyNumberFormat="1" applyFont="1" applyFill="1" applyBorder="1" applyAlignment="1">
      <x:alignment horizontal="right"/>
    </x:xf>
    <x:xf numFmtId="201" fontId="8" fillId="8" borderId="15" xfId="0" applyNumberFormat="1" applyFont="1" applyFill="1" applyBorder="1" applyAlignment="1">
      <x:alignment horizontal="right"/>
    </x:xf>
    <x:xf numFmtId="201" fontId="8" fillId="8" borderId="14" xfId="0" applyNumberFormat="1" applyFont="1" applyFill="1" applyBorder="1" applyAlignment="1">
      <x:alignment horizontal="right"/>
    </x:xf>
    <x:xf numFmtId="201" fontId="14" fillId="8" borderId="10" xfId="0" applyNumberFormat="1" applyFont="1" applyFill="1" applyBorder="1"/>
    <x:xf numFmtId="201" fontId="14" fillId="8" xfId="0" applyNumberFormat="1" applyFont="1" applyFill="1" applyBorder="0"/>
    <x:xf numFmtId="201" fontId="8" fillId="8" borderId="13" xfId="0" applyNumberFormat="1" applyFont="1" applyFill="1" applyBorder="1" applyAlignment="1">
      <x:alignment horizontal="right"/>
    </x:xf>
    <x:xf numFmtId="202" fontId="0" fillId="5" borderId="0" xfId="0" applyNumberFormat="1" applyFont="1" applyFill="1" applyBorder="1" applyAlignment="1">
      <x:alignment horizontal="right"/>
    </x:xf>
    <x:xf numFmtId="205" fontId="0" fillId="5" borderId="0" xfId="0" applyNumberFormat="1" applyFont="1" applyFill="1" applyBorder="1"/>
    <x:xf numFmtId="202" fontId="9" fillId="5" borderId="0" xfId="0" applyNumberFormat="1" applyFont="1" applyFill="1" applyBorder="1" applyAlignment="1">
      <x:alignment horizontal="right"/>
    </x:xf>
    <x:xf numFmtId="205" fontId="9" fillId="5" borderId="0" xfId="0" applyNumberFormat="1" applyFont="1" applyFill="1" applyBorder="1"/>
    <x:xf numFmtId="202" fontId="9" fillId="5" xfId="0" applyNumberFormat="1" applyFont="1" applyFill="1" applyBorder="0" applyAlignment="1">
      <x:alignment horizontal="right"/>
    </x:xf>
    <x:xf numFmtId="205" fontId="9" fillId="5" xfId="0" applyNumberFormat="1" applyFont="1" applyFill="1" applyBorder="0"/>
    <x:xf numFmtId="202" fontId="9" fillId="5" borderId="10" xfId="0" applyNumberFormat="1" applyFont="1" applyFill="1" applyBorder="1" applyAlignment="1">
      <x:alignment horizontal="right"/>
    </x:xf>
    <x:xf numFmtId="205" fontId="9" fillId="5" borderId="10" xfId="0" applyNumberFormat="1" applyFont="1" applyFill="1" applyBorder="1"/>
    <x:xf numFmtId="0" fontId="9" fillId="5" borderId="9" xfId="0" applyNumberFormat="1" applyFont="1" applyFill="1" applyBorder="1"/>
    <x:xf numFmtId="0" fontId="12" fillId="5" xfId="0" applyNumberFormat="1" applyFont="1" applyFill="1" applyBorder="0"/>
    <x:xf numFmtId="202" fontId="12" fillId="5" xfId="0" applyNumberFormat="1" applyFont="1" applyFill="1" applyBorder="0" applyAlignment="1">
      <x:alignment horizontal="right"/>
    </x:xf>
    <x:xf numFmtId="205" fontId="12" fillId="5" xfId="0" applyNumberFormat="1" applyFont="1" applyFill="1" applyBorder="0"/>
    <x:xf numFmtId="0" fontId="8" fillId="5" xfId="0" applyNumberFormat="1" applyFont="1" applyFill="1" applyBorder="0"/>
    <x:xf numFmtId="0" fontId="9" fillId="5" borderId="6" xfId="0" applyNumberFormat="1" applyFont="1" applyFill="1" applyBorder="1"/>
    <x:xf numFmtId="0" fontId="12" fillId="5" borderId="6" xfId="0" applyNumberFormat="1" applyFont="1" applyFill="1" applyBorder="1"/>
    <x:xf numFmtId="0" fontId="9" fillId="5" borderId="12" xfId="0" applyNumberFormat="1" applyFont="1" applyFill="1" applyBorder="1"/>
    <x:xf numFmtId="0" fontId="13" fillId="5" borderId="6" xfId="0" applyNumberFormat="1" applyFont="1" applyFill="1" applyBorder="1"/>
    <x:xf numFmtId="0" fontId="8" fillId="5" borderId="12" xfId="0" applyNumberFormat="1" applyFont="1" applyFill="1" applyBorder="1"/>
    <x:xf numFmtId="201" fontId="9" fillId="5" borderId="6" xfId="0" applyNumberFormat="1" applyFont="1" applyFill="1" applyBorder="1" applyAlignment="1">
      <x:alignment horizontal="right"/>
    </x:xf>
    <x:xf numFmtId="201" fontId="12" fillId="5" borderId="6" xfId="0" applyNumberFormat="1" applyFont="1" applyFill="1" applyBorder="1" applyAlignment="1">
      <x:alignment horizontal="right"/>
    </x:xf>
    <x:xf numFmtId="201" fontId="9" fillId="5" borderId="12" xfId="0" applyNumberFormat="1" applyFont="1" applyFill="1" applyBorder="1" applyAlignment="1">
      <x:alignment horizontal="right"/>
    </x:xf>
    <x:xf numFmtId="0" fontId="7" fillId="5" borderId="0" xfId="0" applyNumberFormat="1" applyFont="1" applyFill="1" applyBorder="1"/>
    <x:xf numFmtId="202" fontId="6" fillId="5" borderId="6" xfId="0" applyNumberFormat="1" applyFont="1" applyFill="1" applyBorder="1" applyAlignment="1">
      <x:alignment horizontal="right"/>
    </x:xf>
    <x:xf numFmtId="200" fontId="0" fillId="5" borderId="0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/>
    <x:xf numFmtId="202" fontId="8" fillId="5" borderId="6" xfId="0" applyNumberFormat="1" applyFont="1" applyFill="1" applyBorder="1" applyAlignment="1">
      <x:alignment horizontal="right"/>
    </x:xf>
    <x:xf numFmtId="200" fontId="9" fillId="5" borderId="0" xfId="0" applyNumberFormat="1" applyFont="1" applyFill="1" applyBorder="1" applyAlignment="1">
      <x:alignment horizontal="right"/>
    </x:xf>
    <x:xf numFmtId="200" fontId="9" fillId="5" xfId="0" applyNumberFormat="1" applyFont="1" applyFill="1" applyBorder="0" applyAlignment="1">
      <x:alignment horizontal="right"/>
    </x:xf>
    <x:xf numFmtId="0" fontId="9" fillId="7" xfId="0" applyNumberFormat="1" applyFont="1" applyFill="1" applyBorder="0"/>
    <x:xf numFmtId="0" fontId="11" fillId="7" xfId="0" applyNumberFormat="1" applyFont="1" applyFill="1" applyBorder="0"/>
    <x:xf numFmtId="0" fontId="11" fillId="7" borderId="8" xfId="0" applyNumberFormat="1" applyFont="1" applyFill="1" applyBorder="1"/>
    <x:xf numFmtId="0" fontId="8" fillId="5" borderId="4" xfId="0" applyNumberFormat="1" applyFont="1" applyFill="1" applyBorder="1"/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9" fillId="5" borderId="18" xfId="0" applyNumberFormat="1" applyFont="1" applyFill="1" applyBorder="1"/>
    <x:xf numFmtId="202" fontId="9" fillId="5" borderId="19" xfId="0" applyNumberFormat="1" applyFont="1" applyFill="1" applyBorder="1" applyAlignment="1">
      <x:alignment horizontal="right"/>
    </x:xf>
    <x:xf numFmtId="0" fontId="9" fillId="5" borderId="20" xfId="0" applyNumberFormat="1" applyFont="1" applyFill="1" applyBorder="1"/>
    <x:xf numFmtId="202" fontId="9" fillId="5" borderId="21" xfId="0" applyNumberFormat="1" applyFont="1" applyFill="1" applyBorder="1" applyAlignment="1">
      <x:alignment horizontal="right"/>
    </x:xf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8" fillId="9" borderId="16" xfId="0" applyNumberFormat="1" applyFont="1" applyFill="1" applyBorder="1"/>
    <x:xf numFmtId="0" fontId="8" fillId="9" borderId="6" xfId="0" applyNumberFormat="1" applyFont="1" applyFill="1" applyBorder="1"/>
    <x:xf numFmtId="0" fontId="8" fillId="9" borderId="17" xfId="0" applyNumberFormat="1" applyFont="1" applyFill="1" applyBorder="1"/>
    <x:xf numFmtId="0" fontId="2" fillId="9" borderId="16" xfId="0" applyNumberFormat="1" applyFont="1" applyFill="1" applyBorder="1"/>
    <x:xf numFmtId="0" fontId="2" fillId="9" borderId="6" xfId="0" applyNumberFormat="1" applyFont="1" applyFill="1" applyBorder="1"/>
    <x:xf numFmtId="0" fontId="2" fillId="9" borderId="17" xfId="0" applyNumberFormat="1" applyFont="1" applyFill="1" applyBorder="1"/>
    <x:xf numFmtId="0" fontId="8" fillId="5" borderId="23" xfId="0" applyNumberFormat="1" applyFont="1" applyFill="1" applyBorder="1"/>
    <x:xf numFmtId="202" fontId="8" fillId="5" borderId="14" xfId="0" applyNumberFormat="1" applyFont="1" applyFill="1" applyBorder="1" applyAlignment="1">
      <x:alignment horizontal="right"/>
    </x:xf>
    <x:xf numFmtId="0" fontId="8" fillId="5" borderId="24" xfId="0" applyNumberFormat="1" applyFont="1" applyFill="1" applyBorder="1"/>
    <x:xf numFmtId="201" fontId="9" fillId="5" borderId="2" xfId="0" applyNumberFormat="1" applyFont="1" applyFill="1" applyBorder="1" applyAlignment="1">
      <x:alignment horizontal="right"/>
    </x:xf>
    <x:xf numFmtId="0" fontId="9" fillId="5" borderId="16" xfId="0" applyNumberFormat="1" applyFont="1" applyFill="1" applyBorder="1"/>
    <x:xf numFmtId="201" fontId="9" fillId="5" borderId="17" xfId="0" applyNumberFormat="1" applyFont="1" applyFill="1" applyBorder="1" applyAlignment="1">
      <x:alignment horizontal="right"/>
    </x:xf>
    <x:xf numFmtId="201" fontId="9" fillId="5" borderId="19" xfId="0" applyNumberFormat="1" applyFont="1" applyFill="1" applyBorder="1" applyAlignment="1">
      <x:alignment horizontal="right"/>
    </x:xf>
    <x:xf numFmtId="201" fontId="9" fillId="5" borderId="22" xfId="0" applyNumberFormat="1" applyFont="1" applyFill="1" applyBorder="1" applyAlignment="1">
      <x:alignment horizontal="right"/>
    </x:xf>
    <x:xf numFmtId="201" fontId="8" fillId="5" borderId="17" xfId="0" applyNumberFormat="1" applyFont="1" applyFill="1" applyBorder="1" applyAlignment="1">
      <x:alignment horizontal="right"/>
    </x:xf>
    <x:xf numFmtId="206" fontId="9" fillId="5" borderId="19" xfId="0" applyNumberFormat="1" applyFont="1" applyFill="1" applyBorder="1" applyAlignment="1">
      <x:alignment horizontal="right"/>
    </x:xf>
    <x:xf numFmtId="204" fontId="9" fillId="5" borderId="22" xfId="0" applyNumberFormat="1" applyFont="1" applyFill="1" applyBorder="1" applyAlignment="1">
      <x:alignment horizontal="right"/>
    </x:xf>
    <x:xf numFmtId="0" fontId="9" fillId="5" borderId="17" xfId="0" applyNumberFormat="1" applyFont="1" applyFill="1" applyBorder="1"/>
    <x:xf numFmtId="0" fontId="9" fillId="5" borderId="19" xfId="0" applyNumberFormat="1" applyFont="1" applyFill="1" applyBorder="1"/>
    <x:xf numFmtId="201" fontId="9" fillId="5" borderId="19" xfId="0" applyNumberFormat="1" applyFont="1" applyFill="1" applyBorder="1"/>
    <x:xf numFmtId="201" fontId="9" fillId="5" borderId="22" xfId="0" applyNumberFormat="1" applyFont="1" applyFill="1" applyBorder="1"/>
    <x:xf numFmtId="200" fontId="9" fillId="5" borderId="22" xfId="0" applyNumberFormat="1" applyFont="1" applyFill="1" applyBorder="1"/>
    <x:xf numFmtId="200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 applyAlignment="1">
      <x:alignment horizontal="right"/>
    </x:xf>
    <x:xf numFmtId="202" fontId="9" fillId="5" borderId="22" xfId="0" applyNumberFormat="1" applyFont="1" applyFill="1" applyBorder="1"/>
    <x:xf numFmtId="202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/>
    <x:xf numFmtId="202" fontId="9" fillId="5" borderId="6" xfId="0" applyNumberFormat="1" applyFont="1" applyFill="1" applyBorder="1" applyAlignment="1">
      <x:alignment horizontal="right"/>
    </x:xf>
    <x:xf numFmtId="202" fontId="9" fillId="5" borderId="17" xfId="0" applyNumberFormat="1" applyFont="1" applyFill="1" applyBorder="1" applyAlignment="1">
      <x:alignment horizontal="right"/>
    </x:xf>
    <x:xf numFmtId="202" fontId="9" fillId="5" borderId="18" xfId="0" applyNumberFormat="1" applyFont="1" applyFill="1" applyBorder="1" applyAlignment="1">
      <x:alignment horizontal="right"/>
    </x:xf>
    <x:xf numFmtId="202" fontId="9" fillId="5" borderId="20" xfId="0" applyNumberFormat="1" applyFont="1" applyFill="1" applyBorder="1" applyAlignment="1">
      <x:alignment horizontal="right"/>
    </x:xf>
    <x:xf numFmtId="200" fontId="9" fillId="5" borderId="21" xfId="0" applyNumberFormat="1" applyFont="1" applyFill="1" applyBorder="1" applyAlignment="1">
      <x:alignment horizontal="right"/>
    </x:xf>
    <x:xf numFmtId="200" fontId="9" fillId="5" borderId="25" xfId="0" applyNumberFormat="1" applyFont="1" applyFill="1" applyBorder="1" applyAlignment="1">
      <x:alignment horizontal="right"/>
    </x:xf>
    <x:xf numFmtId="0" fontId="0" fillId="2" borderId="2" xfId="0" applyNumberFormat="1" applyFont="1" applyFill="1" applyBorder="1"/>
    <x:xf numFmtId="0" fontId="6" fillId="2" borderId="4" xfId="0" applyNumberFormat="1" applyFont="1" applyFill="1" applyBorder="1" applyAlignment="1">
      <x:alignment horizontal="right"/>
    </x:xf>
    <x:xf numFmtId="0" fontId="3" fillId="2" borderId="2" xfId="0" applyNumberFormat="1" applyFont="1" applyFill="1" applyBorder="1" applyAlignment="1">
      <x:alignment horizontal="left"/>
    </x:xf>
    <x:xf numFmtId="201" fontId="0" fillId="2" borderId="0" xfId="0" applyNumberFormat="1" applyFont="1" applyFill="1" applyBorder="1" applyAlignment="1">
      <x:alignment horizontal="right"/>
    </x:xf>
    <x:xf numFmtId="0" fontId="6" fillId="2" borderId="6" xfId="0" applyNumberFormat="1" applyFont="1" applyFill="1" applyBorder="1"/>
    <x:xf numFmtId="201" fontId="6" fillId="2" borderId="6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2" borderId="2" xfId="0" applyNumberFormat="1" applyFont="1" applyFill="1" applyBorder="1"/>
    <x:xf numFmtId="0" fontId="9" fillId="2" borderId="0" xfId="0" applyNumberFormat="1" applyFont="1" applyFill="1" applyBorder="1"/>
    <x:xf numFmtId="0" fontId="8" fillId="2" borderId="4" xfId="0" applyNumberFormat="1" applyFont="1" applyFill="1" applyBorder="1" applyAlignment="1">
      <x:alignment horizontal="right"/>
    </x:xf>
    <x:xf numFmtId="0" fontId="8" fillId="2" borderId="2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 applyAlignment="1">
      <x:alignment horizontal="right"/>
    </x:xf>
    <x:xf numFmtId="0" fontId="8" fillId="2" borderId="6" xfId="0" applyNumberFormat="1" applyFont="1" applyFill="1" applyBorder="1"/>
    <x:xf numFmtId="201" fontId="8" fillId="2" borderId="6" xfId="0" applyNumberFormat="1" applyFont="1" applyFill="1" applyBorder="1" applyAlignment="1">
      <x:alignment horizontal="right"/>
    </x:xf>
    <x:xf numFmtId="0" fontId="8" fillId="2" xfId="0" applyNumberFormat="1" applyFont="1" applyFill="1" applyBorder="0" applyAlignment="1">
      <x:alignment horizontal="left" vertical="center"/>
    </x:xf>
    <x:xf numFmtId="0" fontId="9" fillId="2" xfId="0" applyNumberFormat="1" applyFont="1" applyFill="1" applyBorder="0"/>
    <x:xf numFmtId="201" fontId="9" fillId="2" xfId="0" applyNumberFormat="1" applyFont="1" applyFill="1" applyBorder="0" applyAlignment="1">
      <x:alignment horizontal="right"/>
    </x:xf>
    <x:xf numFmtId="0" fontId="8" fillId="3" xfId="0" applyNumberFormat="1" applyFont="1" applyFill="1" applyBorder="0" applyAlignment="1">
      <x:alignment horizontal="left" vertical="center"/>
    </x:xf>
    <x:xf numFmtId="0" fontId="10" fillId="3" xfId="0" applyNumberFormat="1" applyFont="1" applyFill="1" applyBorder="0" applyAlignment="1">
      <x:alignment horizontal="left" vertical="center"/>
    </x:xf>
    <x:xf numFmtId="0" fontId="8" fillId="4" borderId="2" xfId="0" applyNumberFormat="1" applyFont="1" applyFill="1" applyBorder="1" applyAlignment="1">
      <x:alignment horizontal="left"/>
    </x:xf>
    <x:xf numFmtId="0" fontId="11" fillId="4" borderId="2" xfId="0" applyNumberFormat="1" applyFont="1" applyFill="1" applyBorder="1" applyAlignment="1">
      <x:alignment horizontal="left"/>
    </x:xf>
    <x:xf numFmtId="0" fontId="11" fillId="4" borderId="8" xfId="0" applyNumberFormat="1" applyFont="1" applyFill="1" applyBorder="1" applyAlignment="1">
      <x:alignment horizontal="left"/>
    </x:xf>
    <x:xf numFmtId="0" fontId="8" fillId="2" borderId="9" xfId="0" applyNumberFormat="1" applyFont="1" applyFill="1" applyBorder="1" applyAlignment="1">
      <x:alignment horizontal="right"/>
    </x:xf>
    <x:xf numFmtId="0" fontId="9" fillId="2" borderId="10" xfId="0" applyNumberFormat="1" applyFont="1" applyFill="1" applyBorder="1"/>
    <x:xf numFmtId="0" fontId="11" fillId="4" borderId="11" xfId="0" applyNumberFormat="1" applyFont="1" applyFill="1" applyBorder="1" applyAlignment="1">
      <x:alignment horizontal="left"/>
    </x:xf>
    <x:xf numFmtId="201" fontId="9" fillId="2" borderId="10" xfId="0" applyNumberFormat="1" applyFont="1" applyFill="1" applyBorder="1" applyAlignment="1">
      <x:alignment horizontal="right"/>
    </x:xf>
    <x:xf numFmtId="201" fontId="8" fillId="2" borderId="12" xfId="0" applyNumberFormat="1" applyFont="1" applyFill="1" applyBorder="1" applyAlignment="1">
      <x:alignment horizontal="right"/>
    </x:xf>
    <x:xf numFmtId="201" fontId="8" fillId="2" borderId="13" xfId="0" applyNumberFormat="1" applyFont="1" applyFill="1" applyBorder="1" applyAlignment="1">
      <x:alignment horizontal="right"/>
    </x:xf>
    <x:xf numFmtId="201" fontId="12" fillId="2" xfId="0" applyNumberFormat="1" applyFont="1" applyFill="1" applyBorder="0" applyAlignment="1">
      <x:alignment horizontal="right"/>
    </x:xf>
    <x:xf numFmtId="201" fontId="13" fillId="2" borderId="6" xfId="0" applyNumberFormat="1" applyFont="1" applyFill="1" applyBorder="1" applyAlignment="1">
      <x:alignment horizontal="right"/>
    </x:xf>
    <x:xf numFmtId="0" fontId="8" fillId="2" borderId="14" xfId="0" applyNumberFormat="1" applyFont="1" applyFill="1" applyBorder="1"/>
    <x:xf numFmtId="201" fontId="13" fillId="2" borderId="14" xfId="0" applyNumberFormat="1" applyFont="1" applyFill="1" applyBorder="1" applyAlignment="1">
      <x:alignment horizontal="right"/>
    </x:xf>
    <x:xf numFmtId="201" fontId="8" fillId="2" borderId="15" xfId="0" applyNumberFormat="1" applyFont="1" applyFill="1" applyBorder="1" applyAlignment="1">
      <x:alignment horizontal="right"/>
    </x:xf>
    <x:xf numFmtId="201" fontId="8" fillId="2" borderId="14" xfId="0" applyNumberFormat="1" applyFont="1" applyFill="1" applyBorder="1" applyAlignment="1">
      <x:alignment horizontal="right"/>
    </x:xf>
    <x:xf numFmtId="0" fontId="14" fillId="2" xfId="0" applyNumberFormat="1" applyFont="1" applyFill="1" applyBorder="0"/>
    <x:xf numFmtId="0" fontId="14" fillId="2" borderId="10" xfId="0" applyNumberFormat="1" applyFont="1" applyFill="1" applyBorder="1"/>
    <x:xf numFmtId="201" fontId="14" fillId="2" xfId="0" applyNumberFormat="1" applyFont="1" applyFill="1" applyBorder="0"/>
    <x:xf numFmtId="201" fontId="14" fillId="2" borderId="10" xfId="0" applyNumberFormat="1" applyFont="1" applyFill="1" applyBorder="1"/>
    <x:xf numFmtId="202" fontId="0" fillId="2" borderId="0" xfId="0" applyNumberFormat="1" applyFont="1" applyFill="1" applyBorder="1" applyAlignment="1">
      <x:alignment horizontal="right"/>
    </x:xf>
    <x:xf numFmtId="205" fontId="0" fillId="2" borderId="0" xfId="0" applyNumberFormat="1" applyFont="1" applyFill="1" applyBorder="1"/>
    <x:xf numFmtId="202" fontId="9" fillId="2" borderId="0" xfId="0" applyNumberFormat="1" applyFont="1" applyFill="1" applyBorder="1" applyAlignment="1">
      <x:alignment horizontal="right"/>
    </x:xf>
    <x:xf numFmtId="205" fontId="9" fillId="2" borderId="0" xfId="0" applyNumberFormat="1" applyFont="1" applyFill="1" applyBorder="1"/>
    <x:xf numFmtId="202" fontId="9" fillId="2" xfId="0" applyNumberFormat="1" applyFont="1" applyFill="1" applyBorder="0" applyAlignment="1">
      <x:alignment horizontal="right"/>
    </x:xf>
    <x:xf numFmtId="205" fontId="9" fillId="2" xfId="0" applyNumberFormat="1" applyFont="1" applyFill="1" applyBorder="0"/>
    <x:xf numFmtId="202" fontId="9" fillId="2" borderId="10" xfId="0" applyNumberFormat="1" applyFont="1" applyFill="1" applyBorder="1" applyAlignment="1">
      <x:alignment horizontal="right"/>
    </x:xf>
    <x:xf numFmtId="205" fontId="9" fillId="2" borderId="10" xfId="0" applyNumberFormat="1" applyFont="1" applyFill="1" applyBorder="1"/>
    <x:xf numFmtId="0" fontId="9" fillId="2" borderId="9" xfId="0" applyNumberFormat="1" applyFont="1" applyFill="1" applyBorder="1"/>
    <x:xf numFmtId="0" fontId="12" fillId="2" xfId="0" applyNumberFormat="1" applyFont="1" applyFill="1" applyBorder="0"/>
    <x:xf numFmtId="202" fontId="12" fillId="2" xfId="0" applyNumberFormat="1" applyFont="1" applyFill="1" applyBorder="0" applyAlignment="1">
      <x:alignment horizontal="right"/>
    </x:xf>
    <x:xf numFmtId="205" fontId="12" fillId="2" xfId="0" applyNumberFormat="1" applyFont="1" applyFill="1" applyBorder="0"/>
    <x:xf numFmtId="0" fontId="8" fillId="2" xfId="0" applyNumberFormat="1" applyFont="1" applyFill="1" applyBorder="0"/>
    <x:xf numFmtId="0" fontId="9" fillId="2" borderId="6" xfId="0" applyNumberFormat="1" applyFont="1" applyFill="1" applyBorder="1"/>
    <x:xf numFmtId="0" fontId="12" fillId="2" borderId="6" xfId="0" applyNumberFormat="1" applyFont="1" applyFill="1" applyBorder="1"/>
    <x:xf numFmtId="0" fontId="9" fillId="2" borderId="12" xfId="0" applyNumberFormat="1" applyFont="1" applyFill="1" applyBorder="1"/>
    <x:xf numFmtId="0" fontId="13" fillId="2" borderId="6" xfId="0" applyNumberFormat="1" applyFont="1" applyFill="1" applyBorder="1"/>
    <x:xf numFmtId="0" fontId="8" fillId="2" borderId="12" xfId="0" applyNumberFormat="1" applyFont="1" applyFill="1" applyBorder="1"/>
    <x:xf numFmtId="201" fontId="9" fillId="2" borderId="6" xfId="0" applyNumberFormat="1" applyFont="1" applyFill="1" applyBorder="1" applyAlignment="1">
      <x:alignment horizontal="right"/>
    </x:xf>
    <x:xf numFmtId="201" fontId="12" fillId="2" borderId="6" xfId="0" applyNumberFormat="1" applyFont="1" applyFill="1" applyBorder="1" applyAlignment="1">
      <x:alignment horizontal="right"/>
    </x:xf>
    <x:xf numFmtId="201" fontId="9" fillId="2" borderId="12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/>
    <x:xf numFmtId="202" fontId="6" fillId="2" borderId="6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/>
    <x:xf numFmtId="202" fontId="8" fillId="2" borderId="6" xfId="0" applyNumberFormat="1" applyFont="1" applyFill="1" applyBorder="1" applyAlignment="1">
      <x:alignment horizontal="right"/>
    </x:xf>
    <x:xf numFmtId="200" fontId="9" fillId="2" borderId="0" xfId="0" applyNumberFormat="1" applyFont="1" applyFill="1" applyBorder="1" applyAlignment="1">
      <x:alignment horizontal="right"/>
    </x:xf>
    <x:xf numFmtId="200" fontId="9" fillId="2" xfId="0" applyNumberFormat="1" applyFont="1" applyFill="1" applyBorder="0" applyAlignment="1">
      <x:alignment horizontal="right"/>
    </x:xf>
    <x:xf numFmtId="0" fontId="9" fillId="4" xfId="0" applyNumberFormat="1" applyFont="1" applyFill="1" applyBorder="0"/>
    <x:xf numFmtId="0" fontId="11" fillId="4" xfId="0" applyNumberFormat="1" applyFont="1" applyFill="1" applyBorder="0"/>
    <x:xf numFmtId="0" fontId="11" fillId="4" borderId="8" xfId="0" applyNumberFormat="1" applyFont="1" applyFill="1" applyBorder="1"/>
    <x:xf numFmtId="0" fontId="8" fillId="2" borderId="4" xfId="0" applyNumberFormat="1" applyFont="1" applyFill="1" applyBorder="1"/>
    <x:xf numFmtId="0" fontId="8" fillId="2" borderId="16" xfId="0" applyNumberFormat="1" applyFont="1" applyFill="1" applyBorder="1"/>
    <x:xf numFmtId="0" fontId="8" fillId="2" borderId="17" xfId="0" applyNumberFormat="1" applyFont="1" applyFill="1" applyBorder="1"/>
    <x:xf numFmtId="0" fontId="9" fillId="2" borderId="18" xfId="0" applyNumberFormat="1" applyFont="1" applyFill="1" applyBorder="1"/>
    <x:xf numFmtId="202" fontId="9" fillId="2" borderId="19" xfId="0" applyNumberFormat="1" applyFont="1" applyFill="1" applyBorder="1" applyAlignment="1">
      <x:alignment horizontal="right"/>
    </x:xf>
    <x:xf numFmtId="0" fontId="9" fillId="2" borderId="20" xfId="0" applyNumberFormat="1" applyFont="1" applyFill="1" applyBorder="1"/>
    <x:xf numFmtId="202" fontId="9" fillId="2" borderId="21" xfId="0" applyNumberFormat="1" applyFont="1" applyFill="1" applyBorder="1" applyAlignment="1">
      <x:alignment horizontal="right"/>
    </x:xf>
    <x:xf numFmtId="0" fontId="9" fillId="2" borderId="21" xfId="0" applyNumberFormat="1" applyFont="1" applyFill="1" applyBorder="1"/>
    <x:xf numFmtId="0" fontId="9" fillId="2" borderId="22" xfId="0" applyNumberFormat="1" applyFont="1" applyFill="1" applyBorder="1"/>
    <x:xf numFmtId="0" fontId="8" fillId="2" borderId="23" xfId="0" applyNumberFormat="1" applyFont="1" applyFill="1" applyBorder="1"/>
    <x:xf numFmtId="202" fontId="8" fillId="2" borderId="14" xfId="0" applyNumberFormat="1" applyFont="1" applyFill="1" applyBorder="1" applyAlignment="1">
      <x:alignment horizontal="right"/>
    </x:xf>
    <x:xf numFmtId="0" fontId="8" fillId="2" borderId="24" xfId="0" applyNumberFormat="1" applyFont="1" applyFill="1" applyBorder="1"/>
    <x:xf numFmtId="201" fontId="9" fillId="2" borderId="2" xfId="0" applyNumberFormat="1" applyFont="1" applyFill="1" applyBorder="1" applyAlignment="1">
      <x:alignment horizontal="right"/>
    </x:xf>
    <x:xf numFmtId="0" fontId="9" fillId="2" borderId="16" xfId="0" applyNumberFormat="1" applyFont="1" applyFill="1" applyBorder="1"/>
    <x:xf numFmtId="201" fontId="9" fillId="2" borderId="17" xfId="0" applyNumberFormat="1" applyFont="1" applyFill="1" applyBorder="1" applyAlignment="1">
      <x:alignment horizontal="right"/>
    </x:xf>
    <x:xf numFmtId="201" fontId="9" fillId="2" borderId="19" xfId="0" applyNumberFormat="1" applyFont="1" applyFill="1" applyBorder="1" applyAlignment="1">
      <x:alignment horizontal="right"/>
    </x:xf>
    <x:xf numFmtId="201" fontId="9" fillId="2" borderId="22" xfId="0" applyNumberFormat="1" applyFont="1" applyFill="1" applyBorder="1" applyAlignment="1">
      <x:alignment horizontal="right"/>
    </x:xf>
    <x:xf numFmtId="201" fontId="8" fillId="2" borderId="17" xfId="0" applyNumberFormat="1" applyFont="1" applyFill="1" applyBorder="1" applyAlignment="1">
      <x:alignment horizontal="right"/>
    </x:xf>
    <x:xf numFmtId="206" fontId="9" fillId="2" borderId="19" xfId="0" applyNumberFormat="1" applyFont="1" applyFill="1" applyBorder="1" applyAlignment="1">
      <x:alignment horizontal="right"/>
    </x:xf>
    <x:xf numFmtId="204" fontId="9" fillId="2" borderId="22" xfId="0" applyNumberFormat="1" applyFont="1" applyFill="1" applyBorder="1" applyAlignment="1">
      <x:alignment horizontal="right"/>
    </x:xf>
    <x:xf numFmtId="0" fontId="9" fillId="2" borderId="17" xfId="0" applyNumberFormat="1" applyFont="1" applyFill="1" applyBorder="1"/>
    <x:xf numFmtId="0" fontId="9" fillId="2" borderId="19" xfId="0" applyNumberFormat="1" applyFont="1" applyFill="1" applyBorder="1"/>
    <x:xf numFmtId="201" fontId="9" fillId="2" borderId="19" xfId="0" applyNumberFormat="1" applyFont="1" applyFill="1" applyBorder="1"/>
    <x:xf numFmtId="201" fontId="9" fillId="2" borderId="22" xfId="0" applyNumberFormat="1" applyFont="1" applyFill="1" applyBorder="1"/>
    <x:xf numFmtId="200" fontId="9" fillId="2" borderId="22" xfId="0" applyNumberFormat="1" applyFont="1" applyFill="1" applyBorder="1"/>
    <x:xf numFmtId="200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 applyAlignment="1">
      <x:alignment horizontal="right"/>
    </x:xf>
    <x:xf numFmtId="202" fontId="9" fillId="2" borderId="22" xfId="0" applyNumberFormat="1" applyFont="1" applyFill="1" applyBorder="1"/>
    <x:xf numFmtId="202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/>
    <x:xf numFmtId="202" fontId="9" fillId="2" borderId="6" xfId="0" applyNumberFormat="1" applyFont="1" applyFill="1" applyBorder="1" applyAlignment="1">
      <x:alignment horizontal="right"/>
    </x:xf>
    <x:xf numFmtId="202" fontId="9" fillId="2" borderId="17" xfId="0" applyNumberFormat="1" applyFont="1" applyFill="1" applyBorder="1" applyAlignment="1">
      <x:alignment horizontal="right"/>
    </x:xf>
    <x:xf numFmtId="202" fontId="9" fillId="2" borderId="18" xfId="0" applyNumberFormat="1" applyFont="1" applyFill="1" applyBorder="1" applyAlignment="1">
      <x:alignment horizontal="right"/>
    </x:xf>
    <x:xf numFmtId="202" fontId="9" fillId="2" borderId="20" xfId="0" applyNumberFormat="1" applyFont="1" applyFill="1" applyBorder="1" applyAlignment="1">
      <x:alignment horizontal="right"/>
    </x:xf>
    <x:xf numFmtId="200" fontId="9" fillId="2" borderId="21" xfId="0" applyNumberFormat="1" applyFont="1" applyFill="1" applyBorder="1" applyAlignment="1">
      <x:alignment horizontal="right"/>
    </x:xf>
    <x:xf numFmtId="200" fontId="9" fillId="2" borderId="25" xfId="0" applyNumberFormat="1" applyFont="1" applyFill="1" applyBorder="1" applyAlignment="1">
      <x:alignment horizontal="right"/>
    </x:xf>
    <x:xf numFmtId="0" fontId="4" fillId="10" borderId="0" xfId="0" applyNumberFormat="1" applyFont="1" applyFill="1" applyBorder="1"/>
    <x:xf numFmtId="202" fontId="4" fillId="10" borderId="0" xfId="0" applyNumberFormat="1" applyFont="1" applyFill="1" applyBorder="1" applyAlignment="1">
      <x:alignment horizontal="right"/>
    </x:xf>
    <x:xf numFmtId="203" fontId="4" fillId="10" borderId="0" xfId="0" applyNumberFormat="1" applyFont="1" applyFill="1" applyBorder="1"/>
    <x:xf numFmtId="204" fontId="4" fillId="10" borderId="0" xfId="0" applyNumberFormat="1" applyFont="1" applyFill="1" applyBorder="1" applyAlignment="1">
      <x:alignment horizontal="right"/>
    </x:xf>
    <x:xf numFmtId="201" fontId="4" fillId="10" borderId="0" xfId="0" applyNumberFormat="1" applyFont="1" applyFill="1" applyBorder="1" applyAlignment="1">
      <x:alignment horizontal="right"/>
    </x:xf>
    <x:xf numFmtId="0" fontId="8" fillId="4" borderId="8" xfId="0" applyNumberFormat="1" applyFont="1" applyFill="1" applyBorder="1" applyAlignment="1">
      <x:alignment horizontal="left"/>
    </x:xf>
    <x:xf numFmtId="0" fontId="8" fillId="4" borderId="11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/>
    <x:xf numFmtId="0" fontId="8" fillId="11" xfId="0" applyNumberFormat="1" applyFont="1" applyFill="1" applyBorder="0" applyAlignment="1">
      <x:alignment horizontal="left" vertical="center"/>
    </x:xf>
    <x:xf numFmtId="0" fontId="9" fillId="11" borderId="2" xfId="0" applyNumberFormat="1" applyFont="1" applyFill="1" applyBorder="1"/>
    <x:xf numFmtId="0" fontId="9" fillId="11" xfId="0" applyNumberFormat="1" applyFont="1" applyFill="1" applyBorder="0"/>
    <x:xf numFmtId="0" fontId="8" fillId="11" borderId="4" xfId="0" applyNumberFormat="1" applyFont="1" applyFill="1" applyBorder="1" applyAlignment="1">
      <x:alignment horizontal="right"/>
    </x:xf>
    <x:xf numFmtId="0" fontId="8" fillId="11" borderId="9" xfId="0" applyNumberFormat="1" applyFont="1" applyFill="1" applyBorder="1" applyAlignment="1">
      <x:alignment horizontal="right"/>
    </x:xf>
    <x:xf numFmtId="0" fontId="9" fillId="11" borderId="10" xfId="0" applyNumberFormat="1" applyFont="1" applyFill="1" applyBorder="1"/>
    <x:xf numFmtId="0" fontId="8" fillId="11" borderId="8" xfId="0" applyNumberFormat="1" applyFont="1" applyFill="1" applyBorder="1" applyAlignment="1">
      <x:alignment horizontal="left"/>
    </x:xf>
    <x:xf numFmtId="0" fontId="8" fillId="11" borderId="11" xfId="0" applyNumberFormat="1" applyFont="1" applyFill="1" applyBorder="1" applyAlignment="1">
      <x:alignment horizontal="left"/>
    </x:xf>
    <x:xf numFmtId="202" fontId="9" fillId="11" xfId="0" applyNumberFormat="1" applyFont="1" applyFill="1" applyBorder="0" applyAlignment="1">
      <x:alignment horizontal="right"/>
    </x:xf>
    <x:xf numFmtId="202" fontId="9" fillId="11" borderId="10" xfId="0" applyNumberFormat="1" applyFont="1" applyFill="1" applyBorder="1" applyAlignment="1">
      <x:alignment horizontal="right"/>
    </x:xf>
    <x:xf numFmtId="0" fontId="8" fillId="11" xfId="0" applyNumberFormat="1" applyFont="1" applyFill="1" applyBorder="0"/>
    <x:xf numFmtId="201" fontId="9" fillId="11" xfId="0" applyNumberFormat="1" applyFont="1" applyFill="1" applyBorder="0" applyAlignment="1">
      <x:alignment horizontal="right"/>
    </x:xf>
    <x:xf numFmtId="201" fontId="9" fillId="11" borderId="10" xfId="0" applyNumberFormat="1" applyFont="1" applyFill="1" applyBorder="1" applyAlignment="1">
      <x:alignment horizontal="right"/>
    </x:xf>
    <x:xf numFmtId="0" fontId="8" fillId="11" borderId="6" xfId="0" applyNumberFormat="1" applyFont="1" applyFill="1" applyBorder="1"/>
    <x:xf numFmtId="201" fontId="8" fillId="11" borderId="6" xfId="0" applyNumberFormat="1" applyFont="1" applyFill="1" applyBorder="1" applyAlignment="1">
      <x:alignment horizontal="right"/>
    </x:xf>
    <x:xf numFmtId="201" fontId="8" fillId="11" borderId="12" xfId="0" applyNumberFormat="1" applyFont="1" applyFill="1" applyBorder="1" applyAlignment="1">
      <x:alignment horizontal="right"/>
    </x:xf>
    <x:xf numFmtId="0" fontId="8" fillId="11" borderId="12" xfId="0" applyNumberFormat="1" applyFont="1" applyFill="1" applyBorder="1"/>
    <x:xf numFmtId="205" fontId="9" fillId="11" xfId="0" applyNumberFormat="1" applyFont="1" applyFill="1" applyBorder="0"/>
    <x:xf numFmtId="205" fontId="9" fillId="11" borderId="10" xfId="0" applyNumberFormat="1" applyFont="1" applyFill="1" applyBorder="1"/>
    <x:xf numFmtId="0" fontId="9" fillId="11" borderId="9" xfId="0" applyNumberFormat="1" applyFont="1" applyFill="1" applyBorder="1"/>
    <x:xf numFmtId="0" fontId="9" fillId="11" borderId="0" xfId="0" applyNumberFormat="1" applyFont="1" applyFill="1" applyBorder="1"/>
    <x:xf numFmtId="0" fontId="8" fillId="12" xfId="0" applyNumberFormat="1" applyFont="1" applyFill="1" applyBorder="0" applyAlignment="1">
      <x:alignment horizontal="left" vertical="center"/>
    </x:xf>
    <x:xf numFmtId="0" fontId="10" fillId="12" xfId="0" applyNumberFormat="1" applyFont="1" applyFill="1" applyBorder="0" applyAlignment="1">
      <x:alignment horizontal="left" vertical="center"/>
    </x:xf>
    <x:xf numFmtId="0" fontId="8" fillId="13" borderId="8" xfId="0" applyNumberFormat="1" applyFont="1" applyFill="1" applyBorder="1" applyAlignment="1">
      <x:alignment horizontal="left"/>
    </x:xf>
    <x:xf numFmtId="0" fontId="8" fillId="13" borderId="11" xfId="0" applyNumberFormat="1" applyFont="1" applyFill="1" applyBorder="1" applyAlignment="1">
      <x:alignment horizontal="left"/>
    </x:xf>
    <x:xf numFmtId="0" fontId="11" fillId="13" borderId="8" xfId="0" applyNumberFormat="1" applyFont="1" applyFill="1" applyBorder="1" applyAlignment="1">
      <x:alignment horizontal="left"/>
    </x:xf>
    <x:xf numFmtId="0" fontId="11" fillId="13" borderId="11" xfId="0" applyNumberFormat="1" applyFont="1" applyFill="1" applyBorder="1" applyAlignment="1">
      <x:alignment horizontal="left"/>
    </x:xf>
    <x:xf numFmtId="0" fontId="9" fillId="13" xfId="0" applyNumberFormat="1" applyFont="1" applyFill="1" applyBorder="0"/>
    <x:xf numFmtId="0" fontId="11" fillId="13" xfId="0" applyNumberFormat="1" applyFont="1" applyFill="1" applyBorder="0"/>
    <x:xf numFmtId="0" fontId="11" fillId="13" borderId="8" xfId="0" applyNumberFormat="1" applyFont="1" applyFill="1" applyBorder="1"/>
    <x:xf numFmtId="0" fontId="8" fillId="11" borderId="0" xfId="0" applyNumberFormat="1" applyFont="1" applyFill="1" applyBorder="1"/>
    <x:xf numFmtId="0" fontId="8" fillId="11" borderId="4" xfId="0" applyNumberFormat="1" applyFont="1" applyFill="1" applyBorder="1"/>
    <x:xf numFmtId="201" fontId="9" fillId="11" borderId="0" xfId="0" applyNumberFormat="1" applyFont="1" applyFill="1" applyBorder="1"/>
    <x:xf numFmtId="201" fontId="9" fillId="11" borderId="0" xfId="0" applyNumberFormat="1" applyFont="1" applyFill="1" applyBorder="1" applyAlignment="1">
      <x:alignment horizontal="right"/>
    </x:xf>
    <x:xf numFmtId="207" fontId="9" fillId="11" borderId="0" xfId="0" applyNumberFormat="1" applyFont="1" applyFill="1" applyBorder="1"/>
    <x:xf numFmtId="207" fontId="9" fillId="11" borderId="0" xfId="0" applyNumberFormat="1" applyFont="1" applyFill="1" applyBorder="1" applyAlignment="1">
      <x:alignment horizontal="right"/>
    </x:xf>
    <x:xf numFmtId="0" fontId="9" fillId="11" borderId="6" xfId="0" applyNumberFormat="1" applyFont="1" applyFill="1" applyBorder="1"/>
    <x:xf numFmtId="201" fontId="8" fillId="11" borderId="6" xfId="0" applyNumberFormat="1" applyFont="1" applyFill="1" applyBorder="1"/>
    <x:xf numFmtId="0" fontId="9" fillId="13" borderId="0" xfId="0" applyNumberFormat="1" applyFont="1" applyFill="1" applyBorder="1"/>
    <x:xf numFmtId="0" fontId="11" fillId="13" borderId="0" xfId="0" applyNumberFormat="1" applyFont="1" applyFill="1" applyBorder="1"/>
    <x:xf numFmtId="202" fontId="9" fillId="11" borderId="0" xfId="0" applyNumberFormat="1" applyFont="1" applyFill="1" applyBorder="1"/>
    <x:xf numFmtId="202" fontId="9" fillId="11" borderId="0" xfId="0" applyNumberFormat="1" applyFont="1" applyFill="1" applyBorder="1" applyAlignment="1">
      <x:alignment horizontal="right"/>
    </x:xf>
    <x:xf numFmtId="201" fontId="15" fillId="2" xfId="0" applyNumberFormat="1" applyFont="1" applyFill="1" applyBorder="0"/>
    <x:xf numFmtId="201" fontId="12" fillId="2" xfId="0" applyNumberFormat="1" applyFont="1" applyFill="1" applyBorder="0"/>
    <x:xf numFmtId="201" fontId="9" fillId="2" borderId="10" xfId="0" applyNumberFormat="1" applyFont="1" applyFill="1" applyBorder="1"/>
    <x:xf numFmtId="201" fontId="9" fillId="2" xfId="0" applyNumberFormat="1" applyFont="1" applyFill="1" applyBorder="0"/>
    <x:xf numFmtId="202" fontId="9" fillId="2" xfId="0" applyNumberFormat="1" applyFont="1" applyFill="1" applyBorder="0"/>
    <x:xf numFmtId="203" fontId="9" fillId="2" xfId="0" applyNumberFormat="1" applyFont="1" applyFill="1" applyBorder="0"/>
    <x:xf numFmtId="202" fontId="11" fillId="13" borderId="8" xfId="0" applyNumberFormat="1" applyFont="1" applyFill="1" applyBorder="1" applyAlignment="1">
      <x:alignment horizontal="left"/>
    </x:xf>
    <x:xf numFmtId="202" fontId="11" fillId="13" borderId="8" xfId="0" applyNumberFormat="1" applyFont="1" applyFill="1" applyBorder="1" applyAlignment="1">
      <x:alignment horizontal="right"/>
    </x:xf>
    <x:xf numFmtId="0" fontId="11" fillId="13" borderId="20" xfId="0" applyNumberFormat="1" applyFont="1" applyFill="1" applyBorder="1" applyAlignment="1">
      <x:alignment horizontal="left"/>
    </x:xf>
    <x:xf numFmtId="202" fontId="11" fillId="13" borderId="21" xfId="0" applyNumberFormat="1" applyFont="1" applyFill="1" applyBorder="1" applyAlignment="1">
      <x:alignment horizontal="right"/>
    </x:xf>
    <x:xf numFmtId="0" fontId="11" fillId="13" borderId="22" xfId="0" applyNumberFormat="1" applyFont="1" applyFill="1" applyBorder="1" applyAlignment="1">
      <x:alignment horizontal="left"/>
    </x:xf>
    <x:xf numFmtId="0" fontId="9" fillId="14" borderId="16" xfId="0" applyNumberFormat="1" applyFont="1" applyFill="1" applyBorder="1"/>
    <x:xf numFmtId="0" fontId="9" fillId="14" borderId="6" xfId="0" applyNumberFormat="1" applyFont="1" applyFill="1" applyBorder="1"/>
    <x:xf numFmtId="0" fontId="9" fillId="14" borderId="17" xfId="0" applyNumberFormat="1" applyFont="1" applyFill="1" applyBorder="1"/>
    <x:xf numFmtId="0" fontId="2" fillId="14" borderId="16" xfId="0" applyNumberFormat="1" applyFont="1" applyFill="1" applyBorder="1"/>
    <x:xf numFmtId="0" fontId="2" fillId="14" borderId="6" xfId="0" applyNumberFormat="1" applyFont="1" applyFill="1" applyBorder="1"/>
    <x:xf numFmtId="0" fontId="2" fillId="14" borderId="17" xfId="0" applyNumberFormat="1" applyFont="1" applyFill="1" applyBorder="1"/>
    <x:xf numFmtId="0" fontId="9" fillId="14" borderId="0" xfId="0" applyNumberFormat="1" applyFont="1" applyFill="1" applyBorder="1"/>
    <x:xf numFmtId="0" fontId="2" fillId="14" borderId="0" xfId="0" applyNumberFormat="1" applyFont="1" applyFill="1" applyBorder="1"/>
    <x:xf numFmtId="201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horizontal="right"/>
    </x:xf>
    <x:xf numFmtId="202" fontId="9" fillId="0" borderId="0" xfId="0" applyNumberFormat="1" applyFont="1" applyFill="1" applyBorder="1"/>
    <x:xf numFmtId="202" fontId="9" fillId="0" borderId="0" xfId="0" applyNumberFormat="1" applyFont="1" applyFill="1" applyBorder="1" applyAlignment="1">
      <x:alignment horizontal="right"/>
    </x:xf>
    <x:xf numFmtId="204" fontId="9" fillId="0" borderId="0" xfId="0" applyNumberFormat="1" applyFont="1" applyFill="1" applyBorder="1"/>
    <x:xf numFmtId="204" fontId="9" fillId="0" borderId="0" xfId="0" applyNumberFormat="1" applyFont="1" applyFill="1" applyBorder="1" applyAlignment="1">
      <x:alignment horizontal="right"/>
    </x:xf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horizontal="right"/>
    </x:xf>
    <x:xf numFmtId="0" fontId="2" fillId="14" xfId="0" applyNumberFormat="1" applyFont="1" applyFill="1" applyBorder="0"/>
    <x:xf numFmtId="0" fontId="9" fillId="0" xfId="0" applyNumberFormat="1" applyFont="1" applyFill="1" applyBorder="0"/>
    <x:xf numFmtId="201" fontId="9" fillId="0" xfId="0" applyNumberFormat="1" applyFont="1" applyFill="1" applyBorder="0" applyAlignment="1">
      <x:alignment horizontal="right"/>
    </x:xf>
    <x:xf numFmtId="202" fontId="9" fillId="0" xfId="0" applyNumberFormat="1" applyFont="1" applyFill="1" applyBorder="0" applyAlignment="1">
      <x:alignment horizontal="right"/>
    </x:xf>
    <x:xf numFmtId="200" fontId="9" fillId="0" xfId="0" applyNumberFormat="1" applyFont="1" applyFill="1" applyBorder="0" applyAlignment="1">
      <x:alignment horizontal="right"/>
    </x:xf>
    <x:xf numFmtId="204" fontId="9" fillId="0" xfId="0" applyNumberFormat="1" applyFont="1" applyFill="1" applyBorder="0" applyAlignment="1">
      <x:alignment horizontal="right"/>
    </x:xf>
    <x:xf numFmtId="0" fontId="9" fillId="0" borderId="26" xfId="0" applyNumberFormat="1" applyFont="1" applyFill="1" applyBorder="1"/>
    <x:xf numFmtId="200" fontId="9" fillId="0" borderId="26" xfId="0" applyNumberFormat="1" applyFont="1" applyFill="1" applyBorder="1" applyAlignment="1">
      <x:alignment horizontal="right"/>
    </x:xf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2" xfId="0" applyNumberFormat="1" applyFont="1" applyFill="1" applyBorder="1"/>
    <x:xf numFmtId="0" fontId="9" fillId="12" borderId="0" xfId="0" applyNumberFormat="1" applyFont="1" applyFill="1" applyBorder="1"/>
    <x:xf numFmtId="0" fontId="10" fillId="12" borderId="0" xfId="0" applyNumberFormat="1" applyFont="1" applyFill="1" applyBorder="1"/>
    <x:xf numFmtId="0" fontId="9" fillId="0" borderId="2" xfId="0" applyNumberFormat="1" applyFont="1" applyFill="1" applyBorder="1"/>
    <x:xf numFmtId="0" fontId="8" fillId="3" borderId="2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/>
    <x:xf numFmtId="0" fontId="8" fillId="12" borderId="0" xfId="0" applyNumberFormat="1" applyFont="1" applyFill="1" applyBorder="1" applyAlignment="1">
      <x:alignment horizontal="left" vertical="center"/>
    </x:xf>
    <x:xf numFmtId="0" fontId="10" fillId="12" borderId="0" xfId="0" applyNumberFormat="1" applyFont="1" applyFill="1" applyBorder="1" applyAlignment="1">
      <x:alignment horizontal="left" vertical="center"/>
    </x:xf>
    <x:xf numFmtId="0" fontId="8" fillId="13" borderId="2" xfId="0" applyNumberFormat="1" applyFont="1" applyFill="1" applyBorder="1" applyAlignment="1">
      <x:alignment horizontal="left"/>
    </x:xf>
    <x:xf numFmtId="0" fontId="11" fillId="13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right"/>
    </x:xf>
    <x:xf numFmtId="0" fontId="8" fillId="0" borderId="4" xfId="0" applyNumberFormat="1" applyFont="1" applyFill="1" applyBorder="1" applyAlignment="1">
      <x:alignment horizontal="right"/>
    </x:xf>
    <x:xf numFmtId="205" fontId="9" fillId="0" borderId="0" xfId="0" applyNumberFormat="1" applyFont="1" applyFill="1" applyBorder="1"/>
    <x:xf numFmtId="0" fontId="9" fillId="0" borderId="6" xfId="0" applyNumberFormat="1" applyFont="1" applyFill="1" applyBorder="1"/>
    <x:xf numFmtId="202" fontId="9" fillId="0" borderId="6" xfId="0" applyNumberFormat="1" applyFont="1" applyFill="1" applyBorder="1" applyAlignment="1">
      <x:alignment horizontal="right"/>
    </x:xf>
    <x:xf numFmtId="0" fontId="8" fillId="0" borderId="6" xfId="0" applyNumberFormat="1" applyFont="1" applyFill="1" applyBorder="1"/>
    <x:xf numFmtId="202" fontId="8" fillId="0" borderId="6" xfId="0" applyNumberFormat="1" applyFont="1" applyFill="1" applyBorder="1" applyAlignment="1">
      <x:alignment horizontal="right"/>
    </x:xf>
    <x:xf numFmtId="0" fontId="8" fillId="3" borderId="0" xfId="0" applyNumberFormat="1" applyFont="1" applyFill="1" applyBorder="1"/>
    <x:xf numFmtId="0" fontId="16" fillId="12" borderId="0" xfId="0" applyNumberFormat="1" applyFont="1" applyFill="1" applyBorder="1" applyAlignment="1">
      <x:alignment horizontal="left" vertical="center"/>
    </x:xf>
    <x:xf numFmtId="0" fontId="9" fillId="0" borderId="27" xfId="0" applyNumberFormat="1" applyFont="1" applyFill="1" applyBorder="1"/>
    <x:xf numFmtId="0" fontId="9" fillId="0" borderId="28" xfId="0" applyNumberFormat="1" applyFont="1" applyFill="1" applyBorder="1"/>
    <x:xf numFmtId="0" fontId="9" fillId="0" borderId="29" xfId="0" applyNumberFormat="1" applyFont="1" applyFill="1" applyBorder="1"/>
    <x:xf numFmtId="0" fontId="9" fillId="0" borderId="30" xfId="0" applyNumberFormat="1" applyFont="1" applyFill="1" applyBorder="1"/>
    <x:xf numFmtId="200" fontId="9" fillId="0" borderId="30" xfId="0" applyNumberFormat="1" applyFont="1" applyFill="1" applyBorder="1" applyAlignment="1">
      <x:alignment horizontal="right"/>
    </x:xf>
    <x:xf numFmtId="0" fontId="9" fillId="0" borderId="31" xfId="0" applyNumberFormat="1" applyFont="1" applyFill="1" applyBorder="1"/>
    <x:xf numFmtId="0" fontId="9" fillId="0" borderId="32" xfId="0" applyNumberFormat="1" applyFont="1" applyFill="1" applyBorder="1"/>
    <x:xf numFmtId="201" fontId="9" fillId="0" borderId="30" xfId="0" applyNumberFormat="1" applyFont="1" applyFill="1" applyBorder="1" applyAlignment="1">
      <x:alignment horizontal="right"/>
    </x:xf>
    <x:xf numFmtId="202" fontId="9" fillId="0" borderId="30" xfId="0" applyNumberFormat="1" applyFont="1" applyFill="1" applyBorder="1" applyAlignment="1">
      <x:alignment horizontal="right"/>
    </x:xf>
    <x:xf numFmtId="200" fontId="9" fillId="0" borderId="32" xfId="0" applyNumberFormat="1" applyFont="1" applyFill="1" applyBorder="1" applyAlignment="1">
      <x:alignment horizontal="right"/>
    </x:xf>
    <x:xf numFmtId="202" fontId="9" fillId="0" borderId="32" xfId="0" applyNumberFormat="1" applyFont="1" applyFill="1" applyBorder="1" applyAlignment="1">
      <x:alignment horizontal="right"/>
    </x:xf>
    <x:xf numFmtId="0" fontId="9" fillId="14" borderId="27" xfId="0" applyNumberFormat="1" applyFont="1" applyFill="1" applyBorder="1"/>
    <x:xf numFmtId="0" fontId="9" fillId="14" borderId="29" xfId="0" applyNumberFormat="1" applyFont="1" applyFill="1" applyBorder="1"/>
    <x:xf numFmtId="0" fontId="9" fillId="14" borderId="31" xfId="0" applyNumberFormat="1" applyFont="1" applyFill="1" applyBorder="1"/>
    <x:xf numFmtId="0" fontId="2" fillId="13" borderId="0" xfId="0" applyNumberFormat="1" applyFont="1" applyFill="1" applyBorder="1"/>
    <x:xf numFmtId="0" fontId="8" fillId="2" borderId="8" xfId="0" applyNumberFormat="1" applyFont="1" applyFill="1" applyBorder="1" applyAlignment="1">
      <x:alignment horizontal="left"/>
    </x:xf>
    <x:xf numFmtId="0" fontId="8" fillId="2" borderId="11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/>
    <x:xf numFmtId="207" fontId="9" fillId="2" borderId="0" xfId="0" applyNumberFormat="1" applyFont="1" applyFill="1" applyBorder="1"/>
    <x:xf numFmtId="207" fontId="9" fillId="2" borderId="0" xfId="0" applyNumberFormat="1" applyFont="1" applyFill="1" applyBorder="1" applyAlignment="1">
      <x:alignment horizontal="right"/>
    </x:xf>
    <x:xf numFmtId="201" fontId="8" fillId="2" borderId="6" xfId="0" applyNumberFormat="1" applyFont="1" applyFill="1" applyBorder="1"/>
    <x:xf numFmtId="0" fontId="9" fillId="4" borderId="0" xfId="0" applyNumberFormat="1" applyFont="1" applyFill="1" applyBorder="1"/>
    <x:xf numFmtId="0" fontId="11" fillId="4" borderId="0" xfId="0" applyNumberFormat="1" applyFont="1" applyFill="1" applyBorder="1"/>
    <x:xf numFmtId="202" fontId="9" fillId="2" borderId="0" xfId="0" applyNumberFormat="1" applyFont="1" applyFill="1" applyBorder="1"/>
    <x:xf numFmtId="202" fontId="11" fillId="4" borderId="8" xfId="0" applyNumberFormat="1" applyFont="1" applyFill="1" applyBorder="1" applyAlignment="1">
      <x:alignment horizontal="left"/>
    </x:xf>
    <x:xf numFmtId="202" fontId="11" fillId="4" borderId="8" xfId="0" applyNumberFormat="1" applyFont="1" applyFill="1" applyBorder="1" applyAlignment="1">
      <x:alignment horizontal="right"/>
    </x:xf>
    <x:xf numFmtId="0" fontId="11" fillId="4" borderId="20" xfId="0" applyNumberFormat="1" applyFont="1" applyFill="1" applyBorder="1" applyAlignment="1">
      <x:alignment horizontal="left"/>
    </x:xf>
    <x:xf numFmtId="202" fontId="11" fillId="4" borderId="21" xfId="0" applyNumberFormat="1" applyFont="1" applyFill="1" applyBorder="1" applyAlignment="1">
      <x:alignment horizontal="right"/>
    </x:xf>
    <x:xf numFmtId="0" fontId="11" fillId="4" borderId="22" xfId="0" applyNumberFormat="1" applyFont="1" applyFill="1" applyBorder="1" applyAlignment="1">
      <x:alignment horizontal="left"/>
    </x:xf>
    <x:xf numFmtId="0" fontId="9" fillId="9" borderId="16" xfId="0" applyNumberFormat="1" applyFont="1" applyFill="1" applyBorder="1"/>
    <x:xf numFmtId="0" fontId="9" fillId="9" borderId="6" xfId="0" applyNumberFormat="1" applyFont="1" applyFill="1" applyBorder="1"/>
    <x:xf numFmtId="0" fontId="9" fillId="9" borderId="17" xfId="0" applyNumberFormat="1" applyFont="1" applyFill="1" applyBorder="1"/>
    <x:xf numFmtId="0" fontId="9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xfId="0" applyNumberFormat="1" applyFont="1" applyFill="1" applyBorder="0"/>
    <x:xf numFmtId="0" fontId="9" fillId="3" borderId="0" xfId="0" applyNumberFormat="1" applyFont="1" applyFill="1" applyBorder="1"/>
    <x:xf numFmtId="0" fontId="10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horizontal="left" vertical="center"/>
    </x:xf>
    <x:xf numFmtId="0" fontId="16" fillId="3" borderId="0" xfId="0" applyNumberFormat="1" applyFont="1" applyFill="1" applyBorder="1" applyAlignment="1">
      <x:alignment horizontal="left" vertical="center"/>
    </x:xf>
    <x:xf numFmtId="0" fontId="9" fillId="9" borderId="27" xfId="0" applyNumberFormat="1" applyFont="1" applyFill="1" applyBorder="1"/>
    <x:xf numFmtId="0" fontId="9" fillId="9" borderId="29" xfId="0" applyNumberFormat="1" applyFont="1" applyFill="1" applyBorder="1"/>
    <x:xf numFmtId="0" fontId="9" fillId="9" borderId="31" xfId="0" applyNumberFormat="1" applyFont="1" applyFill="1" applyBorder="1"/>
    <x:xf numFmtId="0" fontId="2" fillId="4" borderId="0" xfId="0" applyNumberFormat="1" applyFont="1" applyFill="1" applyBorder="1"/>
    <x:xf numFmtId="0" fontId="8" fillId="15" xfId="0" applyNumberFormat="1" applyFont="1" applyFill="1" applyBorder="0" applyAlignment="1">
      <x:alignment horizontal="left" vertical="center"/>
    </x:xf>
    <x:xf numFmtId="0" fontId="10" fillId="15" xfId="0" applyNumberFormat="1" applyFont="1" applyFill="1" applyBorder="0" applyAlignment="1">
      <x:alignment horizontal="left" vertical="center"/>
    </x:xf>
    <x:xf numFmtId="0" fontId="8" fillId="2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9" xfId="0" applyNumberFormat="1" applyFont="1" applyFill="1" applyBorder="1"/>
    <x:xf numFmtId="0" fontId="8" fillId="16" borderId="8" xfId="0" applyNumberFormat="1" applyFont="1" applyFill="1" applyBorder="1" applyAlignment="1">
      <x:alignment horizontal="left"/>
    </x:xf>
    <x:xf numFmtId="0" fontId="8" fillId="16" borderId="11" xfId="0" applyNumberFormat="1" applyFont="1" applyFill="1" applyBorder="1" applyAlignment="1">
      <x:alignment horizontal="left"/>
    </x:xf>
    <x:xf numFmtId="0" fontId="11" fillId="16" borderId="8" xfId="0" applyNumberFormat="1" applyFont="1" applyFill="1" applyBorder="1" applyAlignment="1">
      <x:alignment horizontal="left"/>
    </x:xf>
    <x:xf numFmtId="0" fontId="11" fillId="16" borderId="11" xfId="0" applyNumberFormat="1" applyFont="1" applyFill="1" applyBorder="1" applyAlignment="1">
      <x:alignment horizontal="left"/>
    </x:xf>
    <x:xf numFmtId="0" fontId="9" fillId="17" xfId="0" applyNumberFormat="1" applyFont="1" applyFill="1" applyBorder="0"/>
    <x:xf numFmtId="202" fontId="9" fillId="17" xfId="0" applyNumberFormat="1" applyFont="1" applyFill="1" applyBorder="0" applyAlignment="1">
      <x:alignment horizontal="right"/>
    </x:xf>
    <x:xf numFmtId="202" fontId="9" fillId="17" borderId="10" xfId="0" applyNumberFormat="1" applyFont="1" applyFill="1" applyBorder="1" applyAlignment="1">
      <x:alignment horizontal="right"/>
    </x:xf>
    <x:xf numFmtId="0" fontId="8" fillId="17" xfId="0" applyNumberFormat="1" applyFont="1" applyFill="1" applyBorder="0"/>
    <x:xf numFmtId="202" fontId="9" fillId="2" borderId="10" xfId="0" applyNumberFormat="1" applyFont="1" applyFill="1" applyBorder="1"/>
    <x:xf numFmtId="207" fontId="9" fillId="2" xfId="0" applyNumberFormat="1" applyFont="1" applyFill="1" applyBorder="0" applyAlignment="1">
      <x:alignment horizontal="right"/>
    </x:xf>
    <x:xf numFmtId="207" fontId="9" fillId="2" borderId="10" xfId="0" applyNumberFormat="1" applyFont="1" applyFill="1" applyBorder="1" applyAlignment="1">
      <x:alignment horizontal="right"/>
    </x:xf>
    <x:xf numFmtId="207" fontId="9" fillId="2" xfId="0" applyNumberFormat="1" applyFont="1" applyFill="1" applyBorder="0"/>
    <x:xf numFmtId="207" fontId="9" fillId="2" borderId="10" xfId="0" applyNumberFormat="1" applyFont="1" applyFill="1" applyBorder="1"/>
    <x:xf numFmtId="0" fontId="8" fillId="17" borderId="6" xfId="0" applyNumberFormat="1" applyFont="1" applyFill="1" applyBorder="1"/>
    <x:xf numFmtId="201" fontId="8" fillId="17" borderId="6" xfId="0" applyNumberFormat="1" applyFont="1" applyFill="1" applyBorder="1" applyAlignment="1">
      <x:alignment horizontal="right"/>
    </x:xf>
    <x:xf numFmtId="201" fontId="8" fillId="17" borderId="12" xfId="0" applyNumberFormat="1" applyFont="1" applyFill="1" applyBorder="1" applyAlignment="1">
      <x:alignment horizontal="right"/>
    </x:xf>
    <x:xf numFmtId="0" fontId="9" fillId="17" borderId="10" xfId="0" applyNumberFormat="1" applyFont="1" applyFill="1" applyBorder="1"/>
    <x:xf numFmtId="201" fontId="9" fillId="17" xfId="0" applyNumberFormat="1" applyFont="1" applyFill="1" applyBorder="0" applyAlignment="1">
      <x:alignment horizontal="right"/>
    </x:xf>
    <x:xf numFmtId="201" fontId="9" fillId="17" borderId="10" xfId="0" applyNumberFormat="1" applyFont="1" applyFill="1" applyBorder="1" applyAlignment="1">
      <x:alignment horizontal="right"/>
    </x:xf>
    <x:xf numFmtId="0" fontId="9" fillId="2" borderId="14" xfId="0" applyNumberFormat="1" applyFont="1" applyFill="1" applyBorder="1"/>
    <x:xf numFmtId="201" fontId="9" fillId="2" borderId="14" xfId="0" applyNumberFormat="1" applyFont="1" applyFill="1" applyBorder="1" applyAlignment="1">
      <x:alignment horizontal="right"/>
    </x:xf>
    <x:xf numFmtId="201" fontId="9" fillId="2" borderId="15" xfId="0" applyNumberFormat="1" applyFont="1" applyFill="1" applyBorder="1" applyAlignment="1">
      <x:alignment horizontal="right"/>
    </x:xf>
    <x:xf numFmtId="0" fontId="9" fillId="16" xfId="0" applyNumberFormat="1" applyFont="1" applyFill="1" applyBorder="0"/>
    <x:xf numFmtId="205" fontId="9" fillId="16" xfId="0" applyNumberFormat="1" applyFont="1" applyFill="1" applyBorder="0"/>
    <x:xf numFmtId="205" fontId="9" fillId="16" borderId="10" xfId="0" applyNumberFormat="1" applyFont="1" applyFill="1" applyBorder="1"/>
    <x:xf numFmtId="0" fontId="11" fillId="16" xfId="0" applyNumberFormat="1" applyFont="1" applyFill="1" applyBorder="0"/>
    <x:xf numFmtId="205" fontId="11" fillId="16" xfId="0" applyNumberFormat="1" applyFont="1" applyFill="1" applyBorder="0"/>
    <x:xf numFmtId="205" fontId="11" fillId="16" borderId="10" xfId="0" applyNumberFormat="1" applyFont="1" applyFill="1" applyBorder="1"/>
    <x:xf numFmtId="0" fontId="11" fillId="16" borderId="8" xfId="0" applyNumberFormat="1" applyFont="1" applyFill="1" applyBorder="1"/>
    <x:xf numFmtId="205" fontId="11" fillId="16" borderId="8" xfId="0" applyNumberFormat="1" applyFont="1" applyFill="1" applyBorder="1"/>
    <x:xf numFmtId="205" fontId="11" fillId="16" borderId="11" xfId="0" applyNumberFormat="1" applyFont="1" applyFill="1" applyBorder="1"/>
    <x:xf numFmtId="205" fontId="11" fillId="16" borderId="8" xfId="0" applyNumberFormat="1" applyFont="1" applyFill="1" applyBorder="1" applyAlignment="1">
      <x:alignment horizontal="left"/>
    </x:xf>
    <x:xf numFmtId="205" fontId="11" fillId="16" borderId="11" xfId="0" applyNumberFormat="1" applyFont="1" applyFill="1" applyBorder="1" applyAlignment="1">
      <x:alignment horizontal="left"/>
    </x:xf>
    <x:xf numFmtId="207" fontId="8" fillId="2" borderId="6" xfId="0" applyNumberFormat="1" applyFont="1" applyFill="1" applyBorder="1" applyAlignment="1">
      <x:alignment horizontal="right"/>
    </x:xf>
    <x:xf numFmtId="207" fontId="8" fillId="2" borderId="12" xfId="0" applyNumberFormat="1" applyFont="1" applyFill="1" applyBorder="1" applyAlignment="1">
      <x:alignment horizontal="right"/>
    </x:xf>
    <x:xf numFmtId="207" fontId="9" fillId="2" borderId="6" xfId="0" applyNumberFormat="1" applyFont="1" applyFill="1" applyBorder="1" applyAlignment="1">
      <x:alignment horizontal="right"/>
    </x:xf>
    <x:xf numFmtId="207" fontId="9" fillId="2" borderId="12" xfId="0" applyNumberFormat="1" applyFont="1" applyFill="1" applyBorder="1" applyAlignment="1">
      <x:alignment horizontal="right"/>
    </x:xf>
    <x:xf numFmtId="207" fontId="8" fillId="4" borderId="8" xfId="0" applyNumberFormat="1" applyFont="1" applyFill="1" applyBorder="1" applyAlignment="1">
      <x:alignment horizontal="left"/>
    </x:xf>
    <x:xf numFmtId="207" fontId="8" fillId="4" borderId="11" xfId="0" applyNumberFormat="1" applyFont="1" applyFill="1" applyBorder="1" applyAlignment="1">
      <x:alignment horizontal="left"/>
    </x:xf>
    <x:xf numFmtId="207" fontId="8" fillId="4" borderId="8" xfId="0" applyNumberFormat="1" applyFont="1" applyFill="1" applyBorder="1" applyAlignment="1">
      <x:alignment horizontal="right"/>
    </x:xf>
    <x:xf numFmtId="207" fontId="8" fillId="4" borderId="11" xfId="0" applyNumberFormat="1" applyFont="1" applyFill="1" applyBorder="1" applyAlignment="1">
      <x:alignment horizontal="right"/>
    </x:xf>
    <x:xf numFmtId="201" fontId="8" fillId="4" borderId="8" xfId="0" applyNumberFormat="1" applyFont="1" applyFill="1" applyBorder="1" applyAlignment="1">
      <x:alignment horizontal="left"/>
    </x:xf>
    <x:xf numFmtId="201" fontId="8" fillId="4" borderId="11" xfId="0" applyNumberFormat="1" applyFont="1" applyFill="1" applyBorder="1" applyAlignment="1">
      <x:alignment horizontal="left"/>
    </x:xf>
    <x:xf numFmtId="201" fontId="8" fillId="4" borderId="8" xfId="0" applyNumberFormat="1" applyFont="1" applyFill="1" applyBorder="1" applyAlignment="1">
      <x:alignment horizontal="right"/>
    </x:xf>
    <x:xf numFmtId="201" fontId="8" fillId="4" borderId="11" xfId="0" applyNumberFormat="1" applyFont="1" applyFill="1" applyBorder="1" applyAlignment="1">
      <x:alignment horizontal="right"/>
    </x:xf>
    <x:xf numFmtId="0" fontId="9" fillId="16" borderId="0" xfId="0" applyNumberFormat="1" applyFont="1" applyFill="1" applyBorder="1"/>
    <x:xf numFmtId="0" fontId="9" fillId="16" borderId="10" xfId="0" applyNumberFormat="1" applyFont="1" applyFill="1" applyBorder="1"/>
    <x:xf numFmtId="0" fontId="11" fillId="16" borderId="0" xfId="0" applyNumberFormat="1" applyFont="1" applyFill="1" applyBorder="1"/>
    <x:xf numFmtId="0" fontId="11" fillId="16" borderId="10" xfId="0" applyNumberFormat="1" applyFont="1" applyFill="1" applyBorder="1"/>
    <x:xf numFmtId="0" fontId="11" fillId="16" borderId="11" xfId="0" applyNumberFormat="1" applyFont="1" applyFill="1" applyBorder="1"/>
    <x:xf numFmtId="0" fontId="9" fillId="17" borderId="0" xfId="0" applyNumberFormat="1" applyFont="1" applyFill="1" applyBorder="1"/>
    <x:xf numFmtId="0" fontId="8" fillId="17" borderId="0" xfId="0" applyNumberFormat="1" applyFont="1" applyFill="1" applyBorder="1"/>
    <x:xf numFmtId="201" fontId="8" fillId="2" borderId="9" xfId="0" applyNumberFormat="1" applyFont="1" applyFill="1" applyBorder="1"/>
    <x:xf numFmtId="201" fontId="8" fillId="2" borderId="4" xfId="0" applyNumberFormat="1" applyFont="1" applyFill="1" applyBorder="1"/>
    <x:xf numFmtId="201" fontId="8" fillId="2" borderId="9" xfId="0" applyNumberFormat="1" applyFont="1" applyFill="1" applyBorder="1" applyAlignment="1">
      <x:alignment horizontal="right"/>
    </x:xf>
    <x:xf numFmtId="201" fontId="8" fillId="2" borderId="4" xfId="0" applyNumberFormat="1" applyFont="1" applyFill="1" applyBorder="1" applyAlignment="1">
      <x:alignment horizontal="right"/>
    </x:xf>
    <x:xf numFmtId="202" fontId="9" fillId="17" borderId="0" xfId="0" applyNumberFormat="1" applyFont="1" applyFill="1" applyBorder="1" applyAlignment="1">
      <x:alignment horizontal="right"/>
    </x:xf>
    <x:xf numFmtId="202" fontId="9" fillId="0" borderId="10" xfId="0" applyNumberFormat="1" applyFont="1" applyFill="1" applyBorder="1"/>
    <x:xf numFmtId="202" fontId="9" fillId="0" borderId="10" xfId="0" applyNumberFormat="1" applyFont="1" applyFill="1" applyBorder="1" applyAlignment="1">
      <x:alignment horizontal="right"/>
    </x:xf>
    <x:xf numFmtId="201" fontId="9" fillId="0" borderId="10" xfId="0" applyNumberFormat="1" applyFont="1" applyFill="1" applyBorder="1"/>
    <x:xf numFmtId="201" fontId="9" fillId="0" borderId="10" xfId="0" applyNumberFormat="1" applyFont="1" applyFill="1" applyBorder="1" applyAlignment="1">
      <x:alignment horizontal="right"/>
    </x:xf>
    <x:xf numFmtId="201" fontId="9" fillId="0" borderId="6" xfId="0" applyNumberFormat="1" applyFont="1" applyFill="1" applyBorder="1" applyAlignment="1">
      <x:alignment horizontal="right"/>
    </x:xf>
    <x:xf numFmtId="201" fontId="9" fillId="0" borderId="12" xfId="0" applyNumberFormat="1" applyFont="1" applyFill="1" applyBorder="1" applyAlignment="1">
      <x:alignment horizontal="right"/>
    </x:xf>
    <x:xf numFmtId="201" fontId="8" fillId="0" borderId="6" xfId="0" applyNumberFormat="1" applyFont="1" applyFill="1" applyBorder="1" applyAlignment="1">
      <x:alignment horizontal="right"/>
    </x:xf>
    <x:xf numFmtId="201" fontId="8" fillId="0" borderId="12" xfId="0" applyNumberFormat="1" applyFont="1" applyFill="1" applyBorder="1" applyAlignment="1">
      <x:alignment horizontal="right"/>
    </x:xf>
    <x:xf numFmtId="201" fontId="9" fillId="17" borderId="0" xfId="0" applyNumberFormat="1" applyFont="1" applyFill="1" applyBorder="1"/>
    <x:xf numFmtId="201" fontId="9" fillId="17" borderId="10" xfId="0" applyNumberFormat="1" applyFont="1" applyFill="1" applyBorder="1"/>
    <x:xf numFmtId="201" fontId="9" fillId="17" borderId="0" xfId="0" applyNumberFormat="1" applyFont="1" applyFill="1" applyBorder="1" applyAlignment="1">
      <x:alignment horizontal="right"/>
    </x:xf>
    <x:xf numFmtId="0" fontId="9" fillId="0" borderId="14" xfId="0" applyNumberFormat="1" applyFont="1" applyFill="1" applyBorder="1"/>
    <x:xf numFmtId="201" fontId="9" fillId="0" borderId="15" xfId="0" applyNumberFormat="1" applyFont="1" applyFill="1" applyBorder="1" applyAlignment="1">
      <x:alignment horizontal="right"/>
    </x:xf>
    <x:xf numFmtId="201" fontId="9" fillId="0" borderId="14" xfId="0" applyNumberFormat="1" applyFont="1" applyFill="1" applyBorder="1" applyAlignment="1">
      <x:alignment horizontal="right"/>
    </x:xf>
    <x:xf numFmtId="0" fontId="8" fillId="0" borderId="14" xfId="0" applyNumberFormat="1" applyFont="1" applyFill="1" applyBorder="1"/>
    <x:xf numFmtId="201" fontId="8" fillId="0" borderId="15" xfId="0" applyNumberFormat="1" applyFont="1" applyFill="1" applyBorder="1" applyAlignment="1">
      <x:alignment horizontal="right"/>
    </x:xf>
    <x:xf numFmtId="201" fontId="8" fillId="0" borderId="14" xfId="0" applyNumberFormat="1" applyFont="1" applyFill="1" applyBorder="1" applyAlignment="1">
      <x:alignment horizontal="right"/>
    </x:xf>
    <x:xf numFmtId="207" fontId="12" fillId="2" xfId="0" applyNumberFormat="1" applyFont="1" applyFill="1" applyBorder="0" applyAlignment="1">
      <x:alignment horizontal="right"/>
    </x:xf>
    <x:xf numFmtId="201" fontId="13" fillId="17" borderId="6" xfId="0" applyNumberFormat="1" applyFont="1" applyFill="1" applyBorder="1" applyAlignment="1">
      <x:alignment horizontal="right"/>
    </x:xf>
    <x:xf numFmtId="0" fontId="13" fillId="4" borderId="8" xfId="0" applyNumberFormat="1" applyFont="1" applyFill="1" applyBorder="1" applyAlignment="1">
      <x:alignment horizontal="left"/>
    </x:xf>
    <x:xf numFmtId="0" fontId="12" fillId="17" xfId="0" applyNumberFormat="1" applyFont="1" applyFill="1" applyBorder="0"/>
    <x:xf numFmtId="201" fontId="12" fillId="17" xfId="0" applyNumberFormat="1" applyFont="1" applyFill="1" applyBorder="0" applyAlignment="1">
      <x:alignment horizontal="right"/>
    </x:xf>
    <x:xf numFmtId="207" fontId="13" fillId="2" borderId="6" xfId="0" applyNumberFormat="1" applyFont="1" applyFill="1" applyBorder="1" applyAlignment="1">
      <x:alignment horizontal="right"/>
    </x:xf>
    <x:xf numFmtId="207" fontId="13" fillId="4" borderId="8" xfId="0" applyNumberFormat="1" applyFont="1" applyFill="1" applyBorder="1" applyAlignment="1">
      <x:alignment horizontal="right"/>
    </x:xf>
    <x:xf numFmtId="201" fontId="13" fillId="4" borderId="8" xfId="0" applyNumberFormat="1" applyFont="1" applyFill="1" applyBorder="1" applyAlignment="1">
      <x:alignment horizontal="right"/>
    </x:xf>
    <x:xf numFmtId="201" fontId="12" fillId="2" borderId="0" xfId="0" applyNumberFormat="1" applyFont="1" applyFill="1" applyBorder="1" applyAlignment="1">
      <x:alignment horizontal="right"/>
    </x:xf>
    <x:xf numFmtId="0" fontId="12" fillId="2" borderId="0" xfId="0" applyNumberFormat="1" applyFont="1" applyFill="1" applyBorder="1"/>
    <x:xf numFmtId="207" fontId="12" fillId="2" borderId="0" xfId="0" applyNumberFormat="1" applyFont="1" applyFill="1" applyBorder="1" applyAlignment="1">
      <x:alignment horizontal="right"/>
    </x:xf>
    <x:xf numFmtId="0" fontId="12" fillId="17" borderId="0" xfId="0" applyNumberFormat="1" applyFont="1" applyFill="1" applyBorder="1"/>
    <x:xf numFmtId="0" fontId="17" fillId="16" borderId="11" xfId="0" applyNumberFormat="1" applyFont="1" applyFill="1" applyBorder="1" applyAlignment="1">
      <x:alignment horizontal="left"/>
    </x:xf>
    <x:xf numFmtId="0" fontId="17" fillId="16" borderId="8" xfId="0" applyNumberFormat="1" applyFont="1" applyFill="1" applyBorder="1" applyAlignment="1">
      <x:alignment horizontal="left"/>
    </x:xf>
    <x:xf numFmtId="0" fontId="9" fillId="18" borderId="0" xfId="0" applyNumberFormat="1" applyFont="1" applyFill="1" applyBorder="1"/>
    <x:xf numFmtId="0" fontId="2" fillId="18" borderId="0" xfId="0" applyNumberFormat="1" applyFont="1" applyFill="1" applyBorder="1"/>
    <x:xf numFmtId="207" fontId="0" fillId="0" borderId="0" xfId="0" applyNumberFormat="1" applyFont="1" applyFill="1" applyBorder="1"/>
    <x:xf numFmtId="207" fontId="0" fillId="0" borderId="0" xfId="0" applyNumberFormat="1" applyFont="1" applyFill="1" applyBorder="1" applyAlignment="1">
      <x:alignment horizontal="right"/>
    </x:xf>
    <x:xf numFmtId="205" fontId="9" fillId="4" xfId="0" applyNumberFormat="1" applyFont="1" applyFill="1" applyBorder="0"/>
    <x:xf numFmtId="205" fontId="9" fillId="4" borderId="10" xfId="0" applyNumberFormat="1" applyFont="1" applyFill="1" applyBorder="1"/>
    <x:xf numFmtId="205" fontId="11" fillId="4" xfId="0" applyNumberFormat="1" applyFont="1" applyFill="1" applyBorder="0"/>
    <x:xf numFmtId="205" fontId="11" fillId="4" borderId="10" xfId="0" applyNumberFormat="1" applyFont="1" applyFill="1" applyBorder="1"/>
    <x:xf numFmtId="205" fontId="11" fillId="4" borderId="8" xfId="0" applyNumberFormat="1" applyFont="1" applyFill="1" applyBorder="1"/>
    <x:xf numFmtId="205" fontId="11" fillId="4" borderId="11" xfId="0" applyNumberFormat="1" applyFont="1" applyFill="1" applyBorder="1"/>
    <x:xf numFmtId="205" fontId="11" fillId="4" borderId="8" xfId="0" applyNumberFormat="1" applyFont="1" applyFill="1" applyBorder="1" applyAlignment="1">
      <x:alignment horizontal="left"/>
    </x:xf>
    <x:xf numFmtId="205" fontId="11" fillId="4" borderId="11" xfId="0" applyNumberFormat="1" applyFont="1" applyFill="1" applyBorder="1" applyAlignment="1">
      <x:alignment horizontal="left"/>
    </x:xf>
    <x:xf numFmtId="0" fontId="9" fillId="4" borderId="10" xfId="0" applyNumberFormat="1" applyFont="1" applyFill="1" applyBorder="1"/>
    <x:xf numFmtId="0" fontId="11" fillId="4" borderId="10" xfId="0" applyNumberFormat="1" applyFont="1" applyFill="1" applyBorder="1"/>
    <x:xf numFmtId="0" fontId="11" fillId="4" borderId="11" xfId="0" applyNumberFormat="1" applyFont="1" applyFill="1" applyBorder="1"/>
    <x:xf numFmtId="0" fontId="17" fillId="4" borderId="11" xfId="0" applyNumberFormat="1" applyFont="1" applyFill="1" applyBorder="1" applyAlignment="1">
      <x:alignment horizontal="left"/>
    </x:xf>
    <x:xf numFmtId="0" fontId="17" fillId="4" borderId="8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18" fillId="19" borderId="0" xfId="0" applyNumberFormat="1" applyFont="1" applyFill="1" applyBorder="1"/>
    <x:xf numFmtId="0" fontId="18" fillId="19" borderId="8" xfId="0" applyNumberFormat="1" applyFont="1" applyFill="1" applyBorder="1"/>
    <x:xf numFmtId="0" fontId="18" fillId="19" borderId="8" xfId="0" applyNumberFormat="1" applyFont="1" applyFill="1" applyBorder="1" applyAlignment="1">
      <x:alignment horizontal="left"/>
    </x:xf>
    <x:xf numFmtId="0" fontId="4" fillId="20" borderId="0" xfId="0" applyNumberFormat="1" applyFont="1" applyFill="1" applyBorder="1"/>
    <x:xf numFmtId="201" fontId="4" fillId="20" borderId="0" xfId="0" applyNumberFormat="1" applyFont="1" applyFill="1" applyBorder="1"/>
    <x:xf numFmtId="201" fontId="4" fillId="20" borderId="0" xfId="0" applyNumberFormat="1" applyFont="1" applyFill="1" applyBorder="1" applyAlignment="1">
      <x:alignment horizontal="right"/>
    </x:xf>
    <x:xf numFmtId="202" fontId="4" fillId="20" borderId="0" xfId="0" applyNumberFormat="1" applyFont="1" applyFill="1" applyBorder="1"/>
    <x:xf numFmtId="202" fontId="4" fillId="20" borderId="0" xfId="0" applyNumberFormat="1" applyFont="1" applyFill="1" applyBorder="1" applyAlignment="1">
      <x:alignment horizontal="right"/>
    </x:xf>
    <x:xf numFmtId="0" fontId="9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8" xfId="0" applyNumberFormat="1" applyFont="1" applyFill="1" applyBorder="1"/>
    <x:xf numFmtId="0" fontId="11" fillId="19" borderId="8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9" fillId="21" borderId="0" xfId="0" applyNumberFormat="1" applyFont="1" applyFill="1" applyBorder="1"/>
    <x:xf numFmtId="0" fontId="2" fillId="21" borderId="0" xfId="0" applyNumberFormat="1" applyFont="1" applyFill="1" applyBorder="1"/>
    <x:xf numFmtId="0" fontId="12" fillId="0" borderId="0" xfId="0" applyNumberFormat="1" applyFont="1" applyFill="1" applyBorder="1"/>
    <x:xf numFmtId="200" fontId="12" fillId="0" borderId="0" xfId="0" applyNumberFormat="1" applyFont="1" applyFill="1" applyBorder="1"/>
    <x:xf numFmtId="200" fontId="12" fillId="0" borderId="0" xfId="0" applyNumberFormat="1" applyFont="1" applyFill="1" applyBorder="1" applyAlignment="1">
      <x:alignment horizontal="right"/>
    </x:xf>
    <x:xf numFmtId="202" fontId="12" fillId="0" borderId="0" xfId="0" applyNumberFormat="1" applyFont="1" applyFill="1" applyBorder="1"/>
    <x:xf numFmtId="202" fontId="12" fillId="0" borderId="0" xfId="0" applyNumberFormat="1" applyFont="1" applyFill="1" applyBorder="1" applyAlignment="1">
      <x:alignment horizontal="right"/>
    </x:xf>
    <x:xf numFmtId="201" fontId="12" fillId="0" borderId="0" xfId="0" applyNumberFormat="1" applyFont="1" applyFill="1" applyBorder="1"/>
    <x:xf numFmtId="201" fontId="12" fillId="0" borderId="0" xfId="0" applyNumberFormat="1" applyFont="1" applyFill="1" applyBorder="1" applyAlignment="1">
      <x:alignment horizontal="right"/>
    </x:xf>
    <x:xf numFmtId="204" fontId="12" fillId="0" borderId="0" xfId="0" applyNumberFormat="1" applyFont="1" applyFill="1" applyBorder="1"/>
    <x:xf numFmtId="204" fontId="12" fillId="0" borderId="0" xfId="0" applyNumberFormat="1" applyFont="1" applyFill="1" applyBorder="1" applyAlignment="1">
      <x:alignment horizontal="right"/>
    </x:xf>
    <x:xf numFmtId="207" fontId="12" fillId="0" borderId="0" xfId="0" applyNumberFormat="1" applyFont="1" applyFill="1" applyBorder="1"/>
    <x:xf numFmtId="207" fontId="12" fillId="0" borderId="0" xfId="0" applyNumberFormat="1" applyFont="1" applyFill="1" applyBorder="1" applyAlignment="1">
      <x:alignment horizontal="right"/>
    </x:xf>
    <x:xf numFmtId="207" fontId="9" fillId="0" borderId="0" xfId="0" applyNumberFormat="1" applyFont="1" applyFill="1" applyBorder="1"/>
    <x:xf numFmtId="207" fontId="9" fillId="0" borderId="0" xfId="0" applyNumberFormat="1" applyFont="1" applyFill="1" applyBorder="1" applyAlignment="1">
      <x:alignment horizontal="right"/>
    </x:xf>
    <x:xf numFmtId="0" fontId="18" fillId="4" borderId="0" xfId="0" applyNumberFormat="1" applyFont="1" applyFill="1" applyBorder="1"/>
    <x:xf numFmtId="0" fontId="18" fillId="4" borderId="8" xfId="0" applyNumberFormat="1" applyFont="1" applyFill="1" applyBorder="1"/>
    <x:xf numFmtId="0" fontId="18" fillId="4" borderId="8" xfId="0" applyNumberFormat="1" applyFont="1" applyFill="1" applyBorder="1" applyAlignment="1">
      <x:alignment horizontal="left"/>
    </x:xf>
    <x:xf numFmtId="0" fontId="16" fillId="22" borderId="0" xfId="0" applyNumberFormat="1" applyFont="1" applyFill="1" applyBorder="1" applyAlignment="1">
      <x:alignment horizontal="left" vertical="center"/>
    </x:xf>
    <x:xf numFmtId="0" fontId="9" fillId="22" borderId="2" xfId="0" applyNumberFormat="1" applyFont="1" applyFill="1" applyBorder="1"/>
    <x:xf numFmtId="0" fontId="8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27" xfId="0" applyNumberFormat="1" applyFont="1" applyFill="1" applyBorder="1"/>
    <x:xf numFmtId="0" fontId="9" fillId="22" borderId="28" xfId="0" applyNumberFormat="1" applyFont="1" applyFill="1" applyBorder="1"/>
    <x:xf numFmtId="0" fontId="9" fillId="22" borderId="29" xfId="0" applyNumberFormat="1" applyFont="1" applyFill="1" applyBorder="1"/>
    <x:xf numFmtId="0" fontId="9" fillId="22" borderId="30" xfId="0" applyNumberFormat="1" applyFont="1" applyFill="1" applyBorder="1"/>
    <x:xf numFmtId="201" fontId="9" fillId="22" borderId="30" xfId="0" applyNumberFormat="1" applyFont="1" applyFill="1" applyBorder="1" applyAlignment="1">
      <x:alignment horizontal="right"/>
    </x:xf>
    <x:xf numFmtId="202" fontId="9" fillId="22" borderId="30" xfId="0" applyNumberFormat="1" applyFont="1" applyFill="1" applyBorder="1" applyAlignment="1">
      <x:alignment horizontal="right"/>
    </x:xf>
    <x:xf numFmtId="200" fontId="9" fillId="22" borderId="30" xfId="0" applyNumberFormat="1" applyFont="1" applyFill="1" applyBorder="1" applyAlignment="1">
      <x:alignment horizontal="right"/>
    </x:xf>
    <x:xf numFmtId="0" fontId="9" fillId="22" borderId="31" xfId="0" applyNumberFormat="1" applyFont="1" applyFill="1" applyBorder="1"/>
    <x:xf numFmtId="0" fontId="9" fillId="22" borderId="32" xfId="0" applyNumberFormat="1" applyFont="1" applyFill="1" applyBorder="1"/>
    <x:xf numFmtId="200" fontId="9" fillId="22" borderId="32" xfId="0" applyNumberFormat="1" applyFont="1" applyFill="1" applyBorder="1" applyAlignment="1">
      <x:alignment horizontal="right"/>
    </x:xf>
    <x:xf numFmtId="202" fontId="9" fillId="22" borderId="32" xfId="0" applyNumberFormat="1" applyFont="1" applyFill="1" applyBorder="1" applyAlignment="1">
      <x:alignment horizontal="right"/>
    </x:xf>
    <x:xf numFmtId="201" fontId="9" fillId="22" borderId="0" xfId="0" applyNumberFormat="1" applyFont="1" applyFill="1" applyBorder="1" applyAlignment="1">
      <x:alignment horizontal="right"/>
    </x:xf>
    <x:xf numFmtId="0" fontId="2" fillId="22" borderId="0" xfId="0" applyNumberFormat="1" applyFont="1" applyFill="1" applyBorder="1"/>
    <x:xf numFmtId="200" fontId="9" fillId="22" borderId="0" xfId="0" applyNumberFormat="1" applyFont="1" applyFill="1" applyBorder="1" applyAlignment="1">
      <x:alignment horizontal="right"/>
    </x:xf>
    <x:xf numFmtId="202" fontId="9" fillId="22" borderId="0" xfId="0" applyNumberFormat="1" applyFont="1" applyFill="1" applyBorder="1" applyAlignment="1">
      <x:alignment horizontal="right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 applyAlignment="1">
      <x:alignment horizontal="left" vertical="center"/>
    </x:xf>
    <x:xf numFmtId="0" fontId="8" fillId="23" borderId="0" xfId="0" applyNumberFormat="1" applyFont="1" applyFill="1" applyBorder="1" applyAlignment="1">
      <x:alignment horizontal="left" vertical="center"/>
    </x:xf>
    <x:xf numFmtId="0" fontId="19" fillId="23" borderId="0" xfId="0" applyNumberFormat="1" applyFont="1" applyFill="1" applyBorder="1" applyAlignment="1">
      <x:alignment horizontal="left" vertical="center"/>
    </x:xf>
    <x:xf numFmtId="0" fontId="9" fillId="24" borderId="2" xfId="0" applyNumberFormat="1" applyFont="1" applyFill="1" applyBorder="1"/>
    <x:xf numFmtId="0" fontId="20" fillId="24" borderId="2" xfId="0" applyNumberFormat="1" applyFont="1" applyFill="1" applyBorder="1"/>
    <x:xf numFmtId="0" fontId="20" fillId="24" borderId="2" xfId="0" applyNumberFormat="1" applyFont="1" applyFill="1" applyBorder="1" applyAlignment="1">
      <x:alignment horizontal="left"/>
    </x:xf>
    <x:xf numFmtId="0" fontId="9" fillId="25" borderId="0" xfId="0" applyNumberFormat="1" applyFont="1" applyFill="1" applyBorder="1"/>
    <x:xf numFmtId="0" fontId="21" fillId="25" borderId="0" xfId="0" applyNumberFormat="1" applyFont="1" applyFill="1" applyBorder="1"/>
    <x:xf numFmtId="208" fontId="9" fillId="22" borderId="30" xfId="0" applyNumberFormat="1" applyFont="1" applyFill="1" applyBorder="1" applyAlignment="1">
      <x:alignment horizontal="right"/>
    </x:xf>
    <x:xf numFmtId="0" fontId="9" fillId="26" borderId="30" xfId="0" applyNumberFormat="1" applyFont="1" applyFill="1" applyBorder="1"/>
    <x:xf numFmtId="0" fontId="9" fillId="26" borderId="0" xfId="0" applyNumberFormat="1" applyFont="1" applyFill="1" applyBorder="1"/>
    <x:xf numFmtId="0" fontId="22" fillId="26" borderId="30" xfId="0" applyNumberFormat="1" applyFont="1" applyFill="1" applyBorder="1"/>
    <x:xf numFmtId="0" fontId="22" fillId="26" borderId="0" xfId="0" applyNumberFormat="1" applyFont="1" applyFill="1" applyBorder="1"/>
    <x:xf numFmtId="0" fontId="22" fillId="26" borderId="33" xfId="0" applyNumberFormat="1" applyFont="1" applyFill="1" applyBorder="1"/>
    <x:xf numFmtId="0" fontId="22" fillId="26" borderId="34" xfId="0" applyNumberFormat="1" applyFont="1" applyFill="1" applyBorder="1"/>
    <x:xf numFmtId="0" fontId="22" fillId="26" borderId="35" xfId="0" applyNumberFormat="1" applyFont="1" applyFill="1" applyBorder="1"/>
    <x:xf numFmtId="0" fontId="22" fillId="26" borderId="36" xfId="0" applyNumberFormat="1" applyFont="1" applyFill="1" applyBorder="1"/>
    <x:xf numFmtId="0" fontId="22" fillId="26" borderId="33" xfId="0" applyNumberFormat="1" applyFont="1" applyFill="1" applyBorder="1" applyAlignment="1">
      <x:alignment horizontal="center"/>
    </x:xf>
    <x:xf numFmtId="0" fontId="22" fillId="26" borderId="34" xfId="0" applyNumberFormat="1" applyFont="1" applyFill="1" applyBorder="1" applyAlignment="1">
      <x:alignment horizontal="center"/>
    </x:xf>
    <x:xf numFmtId="0" fontId="22" fillId="26" borderId="35" xfId="0" applyNumberFormat="1" applyFont="1" applyFill="1" applyBorder="1" applyAlignment="1">
      <x:alignment horizontal="center"/>
    </x:xf>
    <x:xf numFmtId="0" fontId="22" fillId="26" borderId="36" xfId="0" applyNumberFormat="1" applyFont="1" applyFill="1" applyBorder="1" applyAlignment="1">
      <x:alignment horizontal="center"/>
    </x:xf>
    <x:xf numFmtId="0" fontId="22" fillId="26" borderId="33" xfId="0" applyNumberFormat="1" applyFont="1" applyFill="1" applyBorder="1" applyAlignment="1">
      <x:alignment horizontal="center" vertical="center"/>
    </x:xf>
    <x:xf numFmtId="0" fontId="22" fillId="26" borderId="34" xfId="0" applyNumberFormat="1" applyFont="1" applyFill="1" applyBorder="1" applyAlignment="1">
      <x:alignment horizontal="center" vertical="center"/>
    </x:xf>
    <x:xf numFmtId="0" fontId="22" fillId="26" borderId="35" xfId="0" applyNumberFormat="1" applyFont="1" applyFill="1" applyBorder="1" applyAlignment="1">
      <x:alignment horizontal="center" vertical="center"/>
    </x:xf>
    <x:xf numFmtId="0" fontId="22" fillId="26" borderId="36" xfId="0" applyNumberFormat="1" applyFont="1" applyFill="1" applyBorder="1" applyAlignment="1">
      <x:alignment horizontal="center" vertical="center"/>
    </x:xf>
    <x:xf numFmtId="208" fontId="9" fillId="27" borderId="30" xfId="0" applyNumberFormat="1" applyFont="1" applyFill="1" applyBorder="1" applyAlignment="1">
      <x:alignment horizontal="right"/>
    </x:xf>
    <x:xf numFmtId="208" fontId="22" fillId="27" borderId="30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center"/>
    </x:xf>
    <x:xf numFmtId="0" fontId="23" fillId="22" borderId="27" xfId="0" applyNumberFormat="1" applyFont="1" applyFill="1" applyBorder="1"/>
    <x:xf numFmtId="0" fontId="23" fillId="22" borderId="29" xfId="0" applyNumberFormat="1" applyFont="1" applyFill="1" applyBorder="1"/>
    <x:xf numFmtId="0" fontId="23" fillId="22" borderId="31" xfId="0" applyNumberFormat="1" applyFont="1" applyFill="1" applyBorder="1"/>
    <x:xf numFmtId="0" fontId="9" fillId="22" borderId="38" xfId="0" applyNumberFormat="1" applyFont="1" applyFill="1" applyBorder="1"/>
    <x:xf numFmtId="0" fontId="9" fillId="22" xfId="0" applyNumberFormat="1" applyFont="1" applyFill="1" applyBorder="0"/>
    <x:xf numFmtId="0" fontId="23" fillId="22" borderId="39" xfId="0" applyNumberFormat="1" applyFont="1" applyFill="1" applyBorder="1"/>
    <x:xf numFmtId="0" fontId="9" fillId="22" borderId="40" xfId="0" applyNumberFormat="1" applyFont="1" applyFill="1" applyBorder="1"/>
    <x:xf numFmtId="0" fontId="9" fillId="22" borderId="41" xfId="0" applyNumberFormat="1" applyFont="1" applyFill="1" applyBorder="1"/>
    <x:xf numFmtId="0" fontId="9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0" xfId="0" applyNumberFormat="1" applyFont="1" applyFill="1" applyBorder="1" applyAlignment="1">
      <x:alignment horizontal="center"/>
    </x:xf>
    <x:xf numFmtId="0" fontId="25" fillId="22" borderId="29" xfId="0" applyNumberFormat="1" applyFont="1" applyFill="1" applyBorder="1"/>
    <x:xf numFmtId="201" fontId="25" fillId="22" borderId="30" xfId="0" applyNumberFormat="1" applyFont="1" applyFill="1" applyBorder="1" applyAlignment="1">
      <x:alignment horizontal="right"/>
    </x:xf>
    <x:xf numFmtId="0" fontId="25" fillId="22" borderId="0" xfId="0" applyNumberFormat="1" applyFont="1" applyFill="1" applyBorder="1"/>
    <x:xf numFmtId="0" fontId="25" fillId="22" borderId="42" xfId="0" applyNumberFormat="1" applyFont="1" applyFill="1" applyBorder="1"/>
    <x:xf numFmtId="201" fontId="25" fillId="22" borderId="43" xfId="0" applyNumberFormat="1" applyFont="1" applyFill="1" applyBorder="1" applyAlignment="1">
      <x:alignment horizontal="right"/>
    </x:xf>
    <x:xf numFmtId="0" fontId="25" fillId="22" borderId="44" xfId="0" applyNumberFormat="1" applyFont="1" applyFill="1" applyBorder="1"/>
    <x:xf numFmtId="0" fontId="25" fillId="22" borderId="45" xfId="0" applyNumberFormat="1" applyFont="1" applyFill="1" applyBorder="1"/>
    <x:xf numFmtId="201" fontId="25" fillId="22" borderId="46" xfId="0" applyNumberFormat="1" applyFont="1" applyFill="1" applyBorder="1" applyAlignment="1">
      <x:alignment horizontal="right"/>
    </x:xf>
    <x:xf numFmtId="0" fontId="25" fillId="22" borderId="47" xfId="0" applyNumberFormat="1" applyFont="1" applyFill="1" applyBorder="1"/>
    <x:xf numFmtId="209" fontId="25" fillId="22" borderId="42" xfId="0" applyNumberFormat="1" applyFont="1" applyFill="1" applyBorder="1"/>
    <x:xf numFmtId="209" fontId="25" fillId="22" borderId="43" xfId="0" applyNumberFormat="1" applyFont="1" applyFill="1" applyBorder="1" applyAlignment="1">
      <x:alignment horizontal="right"/>
    </x:xf>
    <x:xf numFmtId="209" fontId="25" fillId="22" borderId="44" xfId="0" applyNumberFormat="1" applyFont="1" applyFill="1" applyBorder="1"/>
    <x:xf numFmtId="209" fontId="25" fillId="22" borderId="45" xfId="0" applyNumberFormat="1" applyFont="1" applyFill="1" applyBorder="1"/>
    <x:xf numFmtId="209" fontId="25" fillId="22" borderId="46" xfId="0" applyNumberFormat="1" applyFont="1" applyFill="1" applyBorder="1" applyAlignment="1">
      <x:alignment horizontal="right"/>
    </x:xf>
    <x:xf numFmtId="209" fontId="25" fillId="22" borderId="47" xfId="0" applyNumberFormat="1" applyFont="1" applyFill="1" applyBorder="1"/>
    <x:xf numFmtId="209" fontId="25" fillId="22" borderId="42" xfId="0" applyNumberFormat="1" applyFont="1" applyFill="1" applyBorder="1" applyAlignment="1">
      <x:alignment horizontal="center"/>
    </x:xf>
    <x:xf numFmtId="209" fontId="25" fillId="22" borderId="43" xfId="0" applyNumberFormat="1" applyFont="1" applyFill="1" applyBorder="1" applyAlignment="1">
      <x:alignment horizontal="center"/>
    </x:xf>
    <x:xf numFmtId="209" fontId="25" fillId="22" borderId="44" xfId="0" applyNumberFormat="1" applyFont="1" applyFill="1" applyBorder="1" applyAlignment="1">
      <x:alignment horizontal="center"/>
    </x:xf>
    <x:xf numFmtId="209" fontId="25" fillId="22" borderId="45" xfId="0" applyNumberFormat="1" applyFont="1" applyFill="1" applyBorder="1" applyAlignment="1">
      <x:alignment horizontal="center"/>
    </x:xf>
    <x:xf numFmtId="209" fontId="25" fillId="22" borderId="46" xfId="0" applyNumberFormat="1" applyFont="1" applyFill="1" applyBorder="1" applyAlignment="1">
      <x:alignment horizontal="center"/>
    </x:xf>
    <x:xf numFmtId="209" fontId="25" fillId="22" borderId="47" xfId="0" applyNumberFormat="1" applyFont="1" applyFill="1" applyBorder="1" applyAlignment="1">
      <x:alignment horizontal="center"/>
    </x:xf>
    <x:xf numFmtId="209" fontId="25" fillId="22" borderId="42" xfId="0" applyNumberFormat="1" applyFont="1" applyFill="1" applyBorder="1" applyAlignment="1">
      <x:alignment horizontal="center" vertical="center"/>
    </x:xf>
    <x:xf numFmtId="209" fontId="25" fillId="22" borderId="43" xfId="0" applyNumberFormat="1" applyFont="1" applyFill="1" applyBorder="1" applyAlignment="1">
      <x:alignment horizontal="center" vertical="center"/>
    </x:xf>
    <x:xf numFmtId="209" fontId="25" fillId="22" borderId="44" xfId="0" applyNumberFormat="1" applyFont="1" applyFill="1" applyBorder="1" applyAlignment="1">
      <x:alignment horizontal="center" vertical="center"/>
    </x:xf>
    <x:xf numFmtId="209" fontId="25" fillId="22" borderId="45" xfId="0" applyNumberFormat="1" applyFont="1" applyFill="1" applyBorder="1" applyAlignment="1">
      <x:alignment horizontal="center" vertical="center"/>
    </x:xf>
    <x:xf numFmtId="209" fontId="25" fillId="22" borderId="46" xfId="0" applyNumberFormat="1" applyFont="1" applyFill="1" applyBorder="1" applyAlignment="1">
      <x:alignment horizontal="center" vertical="center"/>
    </x:xf>
    <x:xf numFmtId="209" fontId="25" fillId="22" borderId="47" xfId="0" applyNumberFormat="1" applyFont="1" applyFill="1" applyBorder="1" applyAlignment="1">
      <x:alignment horizontal="center" vertical="center"/>
    </x:xf>
    <x:xf numFmtId="206" fontId="25" fillId="22" borderId="42" xfId="0" applyNumberFormat="1" applyFont="1" applyFill="1" applyBorder="1"/>
    <x:xf numFmtId="206" fontId="25" fillId="22" borderId="43" xfId="0" applyNumberFormat="1" applyFont="1" applyFill="1" applyBorder="1" applyAlignment="1">
      <x:alignment horizontal="right"/>
    </x:xf>
    <x:xf numFmtId="206" fontId="25" fillId="22" borderId="44" xfId="0" applyNumberFormat="1" applyFont="1" applyFill="1" applyBorder="1"/>
    <x:xf numFmtId="206" fontId="25" fillId="22" borderId="45" xfId="0" applyNumberFormat="1" applyFont="1" applyFill="1" applyBorder="1"/>
    <x:xf numFmtId="206" fontId="25" fillId="22" borderId="46" xfId="0" applyNumberFormat="1" applyFont="1" applyFill="1" applyBorder="1" applyAlignment="1">
      <x:alignment horizontal="right"/>
    </x:xf>
    <x:xf numFmtId="206" fontId="25" fillId="22" borderId="47" xfId="0" applyNumberFormat="1" applyFont="1" applyFill="1" applyBorder="1"/>
    <x:xf numFmtId="206" fontId="25" fillId="22" borderId="42" xfId="0" applyNumberFormat="1" applyFont="1" applyFill="1" applyBorder="1" applyAlignment="1">
      <x:alignment horizontal="center"/>
    </x:xf>
    <x:xf numFmtId="206" fontId="25" fillId="22" borderId="43" xfId="0" applyNumberFormat="1" applyFont="1" applyFill="1" applyBorder="1" applyAlignment="1">
      <x:alignment horizontal="center"/>
    </x:xf>
    <x:xf numFmtId="206" fontId="25" fillId="22" borderId="44" xfId="0" applyNumberFormat="1" applyFont="1" applyFill="1" applyBorder="1" applyAlignment="1">
      <x:alignment horizontal="center"/>
    </x:xf>
    <x:xf numFmtId="206" fontId="25" fillId="22" borderId="45" xfId="0" applyNumberFormat="1" applyFont="1" applyFill="1" applyBorder="1" applyAlignment="1">
      <x:alignment horizontal="center"/>
    </x:xf>
    <x:xf numFmtId="206" fontId="25" fillId="22" borderId="46" xfId="0" applyNumberFormat="1" applyFont="1" applyFill="1" applyBorder="1" applyAlignment="1">
      <x:alignment horizontal="center"/>
    </x:xf>
    <x:xf numFmtId="206" fontId="25" fillId="22" borderId="47" xfId="0" applyNumberFormat="1" applyFont="1" applyFill="1" applyBorder="1" applyAlignment="1">
      <x:alignment horizontal="center"/>
    </x:xf>
    <x:xf numFmtId="206" fontId="25" fillId="22" borderId="42" xfId="0" applyNumberFormat="1" applyFont="1" applyFill="1" applyBorder="1" applyAlignment="1">
      <x:alignment horizontal="center" vertical="center"/>
    </x:xf>
    <x:xf numFmtId="206" fontId="25" fillId="22" borderId="43" xfId="0" applyNumberFormat="1" applyFont="1" applyFill="1" applyBorder="1" applyAlignment="1">
      <x:alignment horizontal="center" vertical="center"/>
    </x:xf>
    <x:xf numFmtId="206" fontId="25" fillId="22" borderId="44" xfId="0" applyNumberFormat="1" applyFont="1" applyFill="1" applyBorder="1" applyAlignment="1">
      <x:alignment horizontal="center" vertical="center"/>
    </x:xf>
    <x:xf numFmtId="206" fontId="25" fillId="22" borderId="45" xfId="0" applyNumberFormat="1" applyFont="1" applyFill="1" applyBorder="1" applyAlignment="1">
      <x:alignment horizontal="center" vertical="center"/>
    </x:xf>
    <x:xf numFmtId="206" fontId="25" fillId="22" borderId="46" xfId="0" applyNumberFormat="1" applyFont="1" applyFill="1" applyBorder="1" applyAlignment="1">
      <x:alignment horizontal="center" vertical="center"/>
    </x:xf>
    <x:xf numFmtId="206" fontId="25" fillId="22" borderId="47" xfId="0" applyNumberFormat="1" applyFont="1" applyFill="1" applyBorder="1" applyAlignment="1">
      <x:alignment horizontal="center" vertical="center"/>
    </x:xf>
    <x:xf numFmtId="0" fontId="25" fillId="22" borderId="30" xfId="0" applyNumberFormat="1" applyFont="1" applyFill="1" applyBorder="1"/>
    <x:xf numFmtId="0" fontId="25" fillId="22" borderId="43" xfId="0" applyNumberFormat="1" applyFont="1" applyFill="1" applyBorder="1"/>
    <x:xf numFmtId="0" fontId="25" fillId="22" borderId="46" xfId="0" applyNumberFormat="1" applyFont="1" applyFill="1" applyBorder="1"/>
    <x:xf numFmtId="209" fontId="25" fillId="22" borderId="43" xfId="0" applyNumberFormat="1" applyFont="1" applyFill="1" applyBorder="1"/>
    <x:xf numFmtId="209" fontId="25" fillId="22" borderId="46" xfId="0" applyNumberFormat="1" applyFont="1" applyFill="1" applyBorder="1"/>
    <x:xf numFmtId="208" fontId="25" fillId="22" borderId="42" xfId="0" applyNumberFormat="1" applyFont="1" applyFill="1" applyBorder="1"/>
    <x:xf numFmtId="208" fontId="25" fillId="22" borderId="44" xfId="0" applyNumberFormat="1" applyFont="1" applyFill="1" applyBorder="1"/>
    <x:xf numFmtId="208" fontId="25" fillId="22" borderId="45" xfId="0" applyNumberFormat="1" applyFont="1" applyFill="1" applyBorder="1"/>
    <x:xf numFmtId="208" fontId="25" fillId="22" borderId="47" xfId="0" applyNumberFormat="1" applyFont="1" applyFill="1" applyBorder="1"/>
    <x:xf numFmtId="208" fontId="25" fillId="22" borderId="42" xfId="0" applyNumberFormat="1" applyFont="1" applyFill="1" applyBorder="1" applyAlignment="1">
      <x:alignment horizontal="center"/>
    </x:xf>
    <x:xf numFmtId="208" fontId="25" fillId="22" borderId="44" xfId="0" applyNumberFormat="1" applyFont="1" applyFill="1" applyBorder="1" applyAlignment="1">
      <x:alignment horizontal="center"/>
    </x:xf>
    <x:xf numFmtId="208" fontId="25" fillId="22" borderId="45" xfId="0" applyNumberFormat="1" applyFont="1" applyFill="1" applyBorder="1" applyAlignment="1">
      <x:alignment horizontal="center"/>
    </x:xf>
    <x:xf numFmtId="208" fontId="25" fillId="22" borderId="47" xfId="0" applyNumberFormat="1" applyFont="1" applyFill="1" applyBorder="1" applyAlignment="1">
      <x:alignment horizontal="center"/>
    </x:xf>
    <x:xf numFmtId="208" fontId="25" fillId="22" borderId="42" xfId="0" applyNumberFormat="1" applyFont="1" applyFill="1" applyBorder="1" applyAlignment="1">
      <x:alignment horizontal="center" vertical="center"/>
    </x:xf>
    <x:xf numFmtId="208" fontId="25" fillId="22" borderId="44" xfId="0" applyNumberFormat="1" applyFont="1" applyFill="1" applyBorder="1" applyAlignment="1">
      <x:alignment horizontal="center" vertical="center"/>
    </x:xf>
    <x:xf numFmtId="208" fontId="25" fillId="22" borderId="45" xfId="0" applyNumberFormat="1" applyFont="1" applyFill="1" applyBorder="1" applyAlignment="1">
      <x:alignment horizontal="center" vertical="center"/>
    </x:xf>
    <x:xf numFmtId="208" fontId="25" fillId="22" borderId="47" xfId="0" applyNumberFormat="1" applyFont="1" applyFill="1" applyBorder="1" applyAlignment="1">
      <x:alignment horizontal="center" vertical="center"/>
    </x:xf>
    <x:xf numFmtId="0" fontId="9" fillId="25" borderId="29" xfId="0" applyNumberFormat="1" applyFont="1" applyFill="1" applyBorder="1"/>
    <x:xf numFmtId="202" fontId="9" fillId="25" borderId="30" xfId="0" applyNumberFormat="1" applyFont="1" applyFill="1" applyBorder="1" applyAlignment="1">
      <x:alignment horizontal="right"/>
    </x:xf>
    <x:xf numFmtId="0" fontId="9" fillId="25" borderId="30" xfId="0" applyNumberFormat="1" applyFont="1" applyFill="1" applyBorder="1"/>
    <x:xf numFmtId="0" fontId="21" fillId="25" borderId="29" xfId="0" applyNumberFormat="1" applyFont="1" applyFill="1" applyBorder="1"/>
    <x:xf numFmtId="202" fontId="21" fillId="25" borderId="30" xfId="0" applyNumberFormat="1" applyFont="1" applyFill="1" applyBorder="1" applyAlignment="1">
      <x:alignment horizontal="right"/>
    </x:xf>
    <x:xf numFmtId="0" fontId="21" fillId="25" borderId="30" xfId="0" applyNumberFormat="1" applyFont="1" applyFill="1" applyBorder="1"/>
    <x:xf numFmtId="0" fontId="9" fillId="28" borderId="29" xfId="0" applyNumberFormat="1" applyFont="1" applyFill="1" applyBorder="1"/>
    <x:xf numFmtId="0" fontId="23" fillId="28" borderId="29" xfId="0" applyNumberFormat="1" applyFont="1" applyFill="1" applyBorder="1"/>
    <x:xf numFmtId="201" fontId="22" fillId="22" borderId="30" xfId="0" applyNumberFormat="1" applyFont="1" applyFill="1" applyBorder="1" applyAlignment="1">
      <x:alignment horizontal="right"/>
    </x:xf>
    <x:xf numFmtId="201" fontId="22" fillId="22" borderId="40" xfId="0" applyNumberFormat="1" applyFont="1" applyFill="1" applyBorder="1" applyAlignment="1">
      <x:alignment horizontal="right"/>
    </x:xf>
    <x:xf numFmtId="206" fontId="22" fillId="22" borderId="40" xfId="0" applyNumberFormat="1" applyFont="1" applyFill="1" applyBorder="1" applyAlignment="1">
      <x:alignment horizontal="right"/>
    </x:xf>
    <x:xf numFmtId="209" fontId="22" fillId="22" borderId="40" xfId="0" applyNumberFormat="1" applyFont="1" applyFill="1" applyBorder="1" applyAlignment="1">
      <x:alignment horizontal="right"/>
    </x:xf>
    <x:xf numFmtId="0" fontId="9" fillId="28" borderId="31" xfId="0" applyNumberFormat="1" applyFont="1" applyFill="1" applyBorder="1"/>
    <x:xf numFmtId="0" fontId="23" fillId="28" borderId="31" xfId="0" applyNumberFormat="1" applyFont="1" applyFill="1" applyBorder="1"/>
    <x:xf numFmtId="200" fontId="22" fillId="22" borderId="32" xfId="0" applyNumberFormat="1" applyFont="1" applyFill="1" applyBorder="1" applyAlignment="1">
      <x:alignment horizontal="right"/>
    </x:xf>
    <x:xf numFmtId="200" fontId="22" fillId="22" borderId="40" xfId="0" applyNumberFormat="1" applyFont="1" applyFill="1" applyBorder="1" applyAlignment="1">
      <x:alignment horizontal="right"/>
    </x:xf>
    <x:xf numFmtId="202" fontId="22" fillId="22" borderId="30" xfId="0" applyNumberFormat="1" applyFont="1" applyFill="1" applyBorder="1" applyAlignment="1">
      <x:alignment horizontal="right"/>
    </x:xf>
    <x:xf numFmtId="202" fontId="22" fillId="22" borderId="40" xfId="0" applyNumberFormat="1" applyFont="1" applyFill="1" applyBorder="1" applyAlignment="1">
      <x:alignment horizontal="right"/>
    </x:xf>
    <x:xf numFmtId="202" fontId="22" fillId="22" borderId="32" xfId="0" applyNumberFormat="1" applyFont="1" applyFill="1" applyBorder="1" applyAlignment="1">
      <x:alignment horizontal="right"/>
    </x:xf>
    <x:xf numFmtId="204" fontId="22" fillId="22" borderId="40" xfId="0" applyNumberFormat="1" applyFont="1" applyFill="1" applyBorder="1" applyAlignment="1">
      <x:alignment horizontal="right"/>
    </x:xf>
    <x:xf numFmtId="0" fontId="22" fillId="22" borderId="30" xfId="0" applyNumberFormat="1" applyFont="1" applyFill="1" applyBorder="1"/>
    <x:xf numFmtId="0" fontId="22" fillId="22" borderId="40" xfId="0" applyNumberFormat="1" applyFont="1" applyFill="1" applyBorder="1"/>
    <x:xf numFmtId="204" fontId="22" fillId="22" borderId="40" xfId="0" applyNumberFormat="1" applyFont="1" applyFill="1" applyBorder="1"/>
    <x:xf numFmtId="0" fontId="22" fillId="22" borderId="32" xfId="0" applyNumberFormat="1" applyFont="1" applyFill="1" applyBorder="1"/>
    <x:xf numFmtId="205" fontId="22" fillId="22" borderId="40" xfId="0" applyNumberFormat="1" applyFont="1" applyFill="1" applyBorder="1"/>
    <x:xf numFmtId="205" fontId="22" fillId="22" borderId="40" xfId="0" applyNumberFormat="1" applyFont="1" applyFill="1" applyBorder="1" applyAlignment="1">
      <x:alignment horizontal="right"/>
    </x:xf>
    <x:xf numFmtId="0" fontId="23" fillId="28" borderId="0" xfId="0" applyNumberFormat="1" applyFont="1" applyFill="1" applyBorder="1"/>
    <x:xf numFmtId="0" fontId="22" fillId="22" borderId="0" xfId="0" applyNumberFormat="1" applyFont="1" applyFill="1" applyBorder="1"/>
    <x:xf numFmtId="0" fontId="22" fillId="22" borderId="41" xfId="0" applyNumberFormat="1" applyFont="1" applyFill="1" applyBorder="1"/>
    <x:xf numFmtId="206" fontId="22" fillId="22" borderId="41" xfId="0" applyNumberFormat="1" applyFont="1" applyFill="1" applyBorder="1"/>
    <x:xf numFmtId="206" fontId="22" fillId="22" borderId="41" xfId="0" applyNumberFormat="1" applyFont="1" applyFill="1" applyBorder="1" applyAlignment="1">
      <x:alignment horizontal="right"/>
    </x:xf>
    <x:xf numFmtId="0" fontId="26" fillId="0" borderId="0" xfId="0" applyNumberFormat="1" applyFont="1" applyFill="1" applyBorder="1"/>
    <x:xf numFmtId="0" fontId="8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48" xfId="0" applyNumberFormat="1" applyFont="1" applyFill="1" applyBorder="1"/>
    <x:xf numFmtId="208" fontId="9" fillId="22" borderId="0" xfId="0" applyNumberFormat="1" applyFont="1" applyFill="1" applyBorder="1" applyAlignment="1">
      <x:alignment horizontal="right"/>
    </x:xf>
    <x:xf numFmtId="208" fontId="9" fillId="22" borderId="0" xfId="0" applyNumberFormat="1" applyFont="1" applyFill="1" applyBorder="1"/>
    <x:xf numFmtId="206" fontId="9" fillId="22" borderId="0" xfId="0" applyNumberFormat="1" applyFont="1" applyFill="1" applyBorder="1" applyAlignment="1">
      <x:alignment horizontal="right"/>
    </x:xf>
    <x:xf numFmtId="206" fontId="9" fillId="22" borderId="0" xfId="0" applyNumberFormat="1" applyFont="1" applyFill="1" applyBorder="1"/>
    <x:xf numFmtId="208" fontId="9" fillId="22" xfId="0" applyNumberFormat="1" applyFont="1" applyFill="1" applyBorder="0" applyAlignment="1">
      <x:alignment horizontal="right"/>
    </x:xf>
    <x:xf numFmtId="206" fontId="9" fillId="22" xfId="0" applyNumberFormat="1" applyFont="1" applyFill="1" applyBorder="0" applyAlignment="1">
      <x:alignment horizontal="right"/>
    </x:xf>
    <x:xf numFmtId="208" fontId="9" fillId="22" xfId="0" applyNumberFormat="1" applyFont="1" applyFill="1" applyBorder="0"/>
    <x:xf numFmtId="206" fontId="9" fillId="22" xfId="0" applyNumberFormat="1" applyFont="1" applyFill="1" applyBorder="0"/>
    <x:xf numFmtId="208" fontId="9" fillId="22" borderId="41" xfId="0" applyNumberFormat="1" applyFont="1" applyFill="1" applyBorder="1"/>
    <x:xf numFmtId="206" fontId="9" fillId="22" borderId="41" xfId="0" applyNumberFormat="1" applyFont="1" applyFill="1" applyBorder="1"/>
    <x:xf numFmtId="0" fontId="9" fillId="29" borderId="41" xfId="0" applyNumberFormat="1" applyFont="1" applyFill="1" applyBorder="1"/>
    <x:xf numFmtId="208" fontId="9" fillId="29" borderId="41" xfId="0" applyNumberFormat="1" applyFont="1" applyFill="1" applyBorder="1"/>
    <x:xf numFmtId="206" fontId="9" fillId="29" borderId="41" xfId="0" applyNumberFormat="1" applyFont="1" applyFill="1" applyBorder="1"/>
    <x:xf numFmtId="0" fontId="27" fillId="29" borderId="41" xfId="0" applyNumberFormat="1" applyFont="1" applyFill="1" applyBorder="1"/>
    <x:xf numFmtId="208" fontId="27" fillId="29" borderId="41" xfId="0" applyNumberFormat="1" applyFont="1" applyFill="1" applyBorder="1"/>
    <x:xf numFmtId="206" fontId="27" fillId="29" borderId="41" xfId="0" applyNumberFormat="1" applyFont="1" applyFill="1" applyBorder="1"/>
    <x:xf numFmtId="201" fontId="9" fillId="22" borderId="0" xfId="0" applyNumberFormat="1" applyFont="1" applyFill="1" applyBorder="1"/>
    <x:xf numFmtId="201" fontId="9" fillId="22" xfId="0" applyNumberFormat="1" applyFont="1" applyFill="1" applyBorder="0"/>
    <x:xf numFmtId="204" fontId="9" fillId="22" borderId="0" xfId="0" applyNumberFormat="1" applyFont="1" applyFill="1" applyBorder="1"/>
    <x:xf numFmtId="205" fontId="9" fillId="22" borderId="0" xfId="0" applyNumberFormat="1" applyFont="1" applyFill="1" applyBorder="1"/>
    <x:xf numFmtId="204" fontId="9" fillId="22" xfId="0" applyNumberFormat="1" applyFont="1" applyFill="1" applyBorder="0"/>
    <x:xf numFmtId="205" fontId="9" fillId="22" xfId="0" applyNumberFormat="1" applyFont="1" applyFill="1" applyBorder="0"/>
    <x:xf numFmtId="0" fontId="9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horizont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6" fillId="22" borderId="0" xfId="0" applyNumberFormat="1" applyFont="1" applyFill="1" applyBorder="1"/>
    <x:xf numFmtId="205" fontId="9" fillId="0" xfId="0" applyNumberFormat="1" applyFont="1" applyFill="1" applyBorder="0"/>
    <x:xf numFmtId="0" fontId="9" fillId="0" borderId="41" xfId="0" applyNumberFormat="1" applyFont="1" applyFill="1" applyBorder="1"/>
    <x:xf numFmtId="204" fontId="9" fillId="0" borderId="41" xfId="0" applyNumberFormat="1" applyFont="1" applyFill="1" applyBorder="1" applyAlignment="1">
      <x:alignment horizontal="right"/>
    </x:xf>
    <x:xf numFmtId="202" fontId="9" fillId="0" borderId="41" xfId="0" applyNumberFormat="1" applyFont="1" applyFill="1" applyBorder="1" applyAlignment="1">
      <x:alignment horizontal="right"/>
    </x:xf>
    <x:xf numFmtId="200" fontId="9" fillId="0" borderId="41" xfId="0" applyNumberFormat="1" applyFont="1" applyFill="1" applyBorder="1" applyAlignment="1">
      <x:alignment horizontal="right"/>
    </x:xf>
    <x:xf numFmtId="207" fontId="9" fillId="0" xfId="0" applyNumberFormat="1" applyFont="1" applyFill="1" applyBorder="0" applyAlignment="1">
      <x:alignment horizontal="right"/>
    </x:xf>
    <x:xf numFmtId="201" fontId="12" fillId="0" xfId="0" applyNumberFormat="1" applyFont="1" applyFill="1" applyBorder="0" applyAlignment="1">
      <x:alignment horizontal="right"/>
    </x:xf>
    <x:xf numFmtId="0" fontId="9" fillId="0" borderId="48" xfId="0" applyNumberFormat="1" applyFont="1" applyFill="1" applyBorder="1"/>
    <x:xf numFmtId="0" fontId="2" fillId="9" borderId="48" xfId="0" applyNumberFormat="1" applyFont="1" applyFill="1" applyBorder="1"/>
    <x:xf numFmtId="0" fontId="2" fillId="22" borderId="0" xfId="0" applyNumberFormat="1" applyFont="1" applyFill="1" applyBorder="1" applyAlignment="1">
      <x:alignment horizontal="left" vertical="center"/>
    </x:xf>
    <x:xf numFmtId="0" fontId="0" fillId="22" borderId="2" xfId="0" applyNumberFormat="1" applyFont="1" applyFill="1" applyBorder="1"/>
    <x:xf numFmtId="0" fontId="6" fillId="22" borderId="4" xfId="0" applyNumberFormat="1" applyFont="1" applyFill="1" applyBorder="1" applyAlignment="1">
      <x:alignment horizontal="right"/>
    </x:xf>
    <x:xf numFmtId="0" fontId="3" fillId="22" borderId="2" xfId="0" applyNumberFormat="1" applyFont="1" applyFill="1" applyBorder="1" applyAlignment="1">
      <x:alignment horizontal="left"/>
    </x:xf>
    <x:xf numFmtId="0" fontId="4" fillId="22" borderId="0" xfId="0" applyNumberFormat="1" applyFont="1" applyFill="1" applyBorder="1"/>
    <x:xf numFmtId="201" fontId="4" fillId="22" borderId="0" xfId="0" applyNumberFormat="1" applyFont="1" applyFill="1" applyBorder="1" applyAlignment="1">
      <x:alignment horizontal="right"/>
    </x:xf>
    <x:xf numFmtId="0" fontId="7" fillId="22" borderId="0" xfId="0" applyNumberFormat="1" applyFont="1" applyFill="1" applyBorder="1"/>
    <x:xf numFmtId="202" fontId="4" fillId="22" borderId="0" xfId="0" applyNumberFormat="1" applyFont="1" applyFill="1" applyBorder="1" applyAlignment="1">
      <x:alignment horizontal="right"/>
    </x:xf>
    <x:xf numFmtId="0" fontId="7" fillId="22" borderId="2" xfId="0" applyNumberFormat="1" applyFont="1" applyFill="1" applyBorder="1" applyAlignment="1">
      <x:alignment horizontal="left"/>
    </x:xf>
    <x:xf numFmtId="203" fontId="4" fillId="22" borderId="0" xfId="0" applyNumberFormat="1" applyFont="1" applyFill="1" applyBorder="1"/>
    <x:xf numFmtId="204" fontId="4" fillId="22" borderId="0" xfId="0" applyNumberFormat="1" applyFont="1" applyFill="1" applyBorder="1" applyAlignment="1">
      <x:alignment horizontal="right"/>
    </x:xf>
    <x:xf numFmtId="0" fontId="18" fillId="22" borderId="8" xfId="0" applyNumberFormat="1" applyFont="1" applyFill="1" applyBorder="1" applyAlignment="1">
      <x:alignment horizontal="left"/>
    </x:xf>
    <x:xf numFmtId="0" fontId="0" fillId="22" borderId="48" xfId="0" applyNumberFormat="1" applyFont="1" applyFill="1" applyBorder="1"/>
    <x:xf numFmtId="0" fontId="6" fillId="22" borderId="48" xfId="0" applyNumberFormat="1" applyFont="1" applyFill="1" applyBorder="1" applyAlignment="1">
      <x:alignment horizontal="right"/>
    </x:xf>
    <x:xf numFmtId="0" fontId="7" fillId="22" borderId="48" xfId="0" applyNumberFormat="1" applyFont="1" applyFill="1" applyBorder="1"/>
    <x:xf numFmtId="0" fontId="0" fillId="22" borderId="41" xfId="0" applyNumberFormat="1" applyFont="1" applyFill="1" applyBorder="1"/>
    <x:xf numFmtId="0" fontId="4" fillId="22" borderId="41" xfId="0" applyNumberFormat="1" applyFont="1" applyFill="1" applyBorder="1"/>
    <x:xf numFmtId="201" fontId="4" fillId="22" borderId="41" xfId="0" applyNumberFormat="1" applyFont="1" applyFill="1" applyBorder="1" applyAlignment="1">
      <x:alignment horizontal="right"/>
    </x:xf>
    <x:xf numFmtId="202" fontId="4" fillId="22" borderId="41" xfId="0" applyNumberFormat="1" applyFont="1" applyFill="1" applyBorder="1" applyAlignment="1">
      <x:alignment horizontal="right"/>
    </x:xf>
    <x:xf numFmtId="203" fontId="4" fillId="22" borderId="41" xfId="0" applyNumberFormat="1" applyFont="1" applyFill="1" applyBorder="1"/>
    <x:xf numFmtId="204" fontId="4" fillId="22" borderId="41" xfId="0" applyNumberFormat="1" applyFont="1" applyFill="1" applyBorder="1" applyAlignment="1">
      <x:alignment horizontal="right"/>
    </x:xf>
    <x:xf numFmtId="0" fontId="9" fillId="2" borderId="41" xfId="0" applyNumberFormat="1" applyFont="1" applyFill="1" applyBorder="1"/>
    <x:xf numFmtId="0" fontId="12" fillId="2" borderId="41" xfId="0" applyNumberFormat="1" applyFont="1" applyFill="1" applyBorder="1"/>
    <x:xf numFmtId="0" fontId="9" fillId="2" borderId="49" xfId="0" applyNumberFormat="1" applyFont="1" applyFill="1" applyBorder="1"/>
    <x:xf numFmtId="202" fontId="12" fillId="2" borderId="41" xfId="0" applyNumberFormat="1" applyFont="1" applyFill="1" applyBorder="1" applyAlignment="1">
      <x:alignment horizontal="right"/>
    </x:xf>
    <x:xf numFmtId="202" fontId="9" fillId="2" borderId="49" xfId="0" applyNumberFormat="1" applyFont="1" applyFill="1" applyBorder="1" applyAlignment="1">
      <x:alignment horizontal="right"/>
    </x:xf>
    <x:xf numFmtId="202" fontId="9" fillId="2" borderId="41" xfId="0" applyNumberFormat="1" applyFont="1" applyFill="1" applyBorder="1" applyAlignment="1">
      <x:alignment horizontal="right"/>
    </x:xf>
    <x:xf numFmtId="207" fontId="12" fillId="2" borderId="41" xfId="0" applyNumberFormat="1" applyFont="1" applyFill="1" applyBorder="1" applyAlignment="1">
      <x:alignment horizontal="right"/>
    </x:xf>
    <x:xf numFmtId="207" fontId="9" fillId="2" borderId="49" xfId="0" applyNumberFormat="1" applyFont="1" applyFill="1" applyBorder="1" applyAlignment="1">
      <x:alignment horizontal="right"/>
    </x:xf>
    <x:xf numFmtId="207" fontId="9" fillId="2" borderId="41" xfId="0" applyNumberFormat="1" applyFont="1" applyFill="1" applyBorder="1" applyAlignment="1">
      <x:alignment horizontal="right"/>
    </x:xf>
    <x:xf numFmtId="0" fontId="8" fillId="2" borderId="41" xfId="0" applyNumberFormat="1" applyFont="1" applyFill="1" applyBorder="1"/>
    <x:xf numFmtId="0" fontId="8" fillId="2" borderId="50" xfId="0" applyNumberFormat="1" applyFont="1" applyFill="1" applyBorder="1"/>
    <x:xf numFmtId="201" fontId="13" fillId="2" borderId="50" xfId="0" applyNumberFormat="1" applyFont="1" applyFill="1" applyBorder="1" applyAlignment="1">
      <x:alignment horizontal="right"/>
    </x:xf>
    <x:xf numFmtId="201" fontId="8" fillId="2" borderId="51" xfId="0" applyNumberFormat="1" applyFont="1" applyFill="1" applyBorder="1" applyAlignment="1">
      <x:alignment horizontal="right"/>
    </x:xf>
    <x:xf numFmtId="201" fontId="8" fillId="2" borderId="50" xfId="0" applyNumberFormat="1" applyFont="1" applyFill="1" applyBorder="1" applyAlignment="1">
      <x:alignment horizontal="right"/>
    </x:xf>
    <x:xf numFmtId="0" fontId="8" fillId="4" borderId="41" xfId="0" applyNumberFormat="1" applyFont="1" applyFill="1" applyBorder="1" applyAlignment="1">
      <x:alignment horizontal="left"/>
    </x:xf>
    <x:xf numFmtId="0" fontId="13" fillId="4" borderId="41" xfId="0" applyNumberFormat="1" applyFont="1" applyFill="1" applyBorder="1" applyAlignment="1">
      <x:alignment horizontal="left"/>
    </x:xf>
    <x:xf numFmtId="0" fontId="8" fillId="4" borderId="49" xfId="0" applyNumberFormat="1" applyFont="1" applyFill="1" applyBorder="1" applyAlignment="1">
      <x:alignment horizontal="left"/>
    </x:xf>
    <x:xf numFmtId="0" fontId="13" fillId="2" borderId="50" xfId="0" applyNumberFormat="1" applyFont="1" applyFill="1" applyBorder="1"/>
    <x:xf numFmtId="0" fontId="8" fillId="2" borderId="51" xfId="0" applyNumberFormat="1" applyFont="1" applyFill="1" applyBorder="1"/>
    <x:xf numFmtId="201" fontId="12" fillId="2" borderId="41" xfId="0" applyNumberFormat="1" applyFont="1" applyFill="1" applyBorder="1" applyAlignment="1">
      <x:alignment horizontal="right"/>
    </x:xf>
    <x:xf numFmtId="201" fontId="9" fillId="2" borderId="49" xfId="0" applyNumberFormat="1" applyFont="1" applyFill="1" applyBorder="1" applyAlignment="1">
      <x:alignment horizontal="right"/>
    </x:xf>
    <x:xf numFmtId="201" fontId="9" fillId="2" borderId="41" xfId="0" applyNumberFormat="1" applyFont="1" applyFill="1" applyBorder="1" applyAlignment="1">
      <x:alignment horizontal="right"/>
    </x:xf>
    <x:xf numFmtId="0" fontId="8" fillId="2" borderId="52" xfId="0" applyNumberFormat="1" applyFont="1" applyFill="1" applyBorder="1"/>
    <x:xf numFmtId="201" fontId="13" fillId="2" borderId="52" xfId="0" applyNumberFormat="1" applyFont="1" applyFill="1" applyBorder="1" applyAlignment="1">
      <x:alignment horizontal="right"/>
    </x:xf>
    <x:xf numFmtId="201" fontId="8" fillId="2" borderId="53" xfId="0" applyNumberFormat="1" applyFont="1" applyFill="1" applyBorder="1" applyAlignment="1">
      <x:alignment horizontal="right"/>
    </x:xf>
    <x:xf numFmtId="201" fontId="8" fillId="2" borderId="52" xfId="0" applyNumberFormat="1" applyFont="1" applyFill="1" applyBorder="1" applyAlignment="1">
      <x:alignment horizontal="right"/>
    </x:xf>
    <x:xf numFmtId="207" fontId="13" fillId="2" borderId="50" xfId="0" applyNumberFormat="1" applyFont="1" applyFill="1" applyBorder="1" applyAlignment="1">
      <x:alignment horizontal="right"/>
    </x:xf>
    <x:xf numFmtId="207" fontId="8" fillId="2" borderId="51" xfId="0" applyNumberFormat="1" applyFont="1" applyFill="1" applyBorder="1" applyAlignment="1">
      <x:alignment horizontal="right"/>
    </x:xf>
    <x:xf numFmtId="207" fontId="8" fillId="2" borderId="50" xfId="0" applyNumberFormat="1" applyFont="1" applyFill="1" applyBorder="1" applyAlignment="1">
      <x:alignment horizontal="right"/>
    </x:xf>
    <x:xf numFmtId="207" fontId="13" fillId="4" borderId="41" xfId="0" applyNumberFormat="1" applyFont="1" applyFill="1" applyBorder="1" applyAlignment="1">
      <x:alignment horizontal="right"/>
    </x:xf>
    <x:xf numFmtId="207" fontId="8" fillId="4" borderId="49" xfId="0" applyNumberFormat="1" applyFont="1" applyFill="1" applyBorder="1" applyAlignment="1">
      <x:alignment horizontal="right"/>
    </x:xf>
    <x:xf numFmtId="207" fontId="8" fillId="4" borderId="41" xfId="0" applyNumberFormat="1" applyFont="1" applyFill="1" applyBorder="1" applyAlignment="1">
      <x:alignment horizontal="right"/>
    </x:xf>
    <x:xf numFmtId="201" fontId="13" fillId="4" borderId="41" xfId="0" applyNumberFormat="1" applyFont="1" applyFill="1" applyBorder="1" applyAlignment="1">
      <x:alignment horizontal="right"/>
    </x:xf>
    <x:xf numFmtId="201" fontId="8" fillId="4" borderId="49" xfId="0" applyNumberFormat="1" applyFont="1" applyFill="1" applyBorder="1" applyAlignment="1">
      <x:alignment horizontal="right"/>
    </x:xf>
    <x:xf numFmtId="201" fontId="8" fillId="4" borderId="41" xfId="0" applyNumberFormat="1" applyFont="1" applyFill="1" applyBorder="1" applyAlignment="1">
      <x:alignment horizontal="right"/>
    </x:xf>
    <x:xf numFmtId="201" fontId="8" fillId="2" borderId="49" xfId="0" applyNumberFormat="1" applyFont="1" applyFill="1" applyBorder="1" applyAlignment="1">
      <x:alignment horizontal="right"/>
    </x:xf>
    <x:xf numFmtId="201" fontId="8" fillId="2" borderId="41" xfId="0" applyNumberFormat="1" applyFont="1" applyFill="1" applyBorder="1" applyAlignment="1">
      <x:alignment horizontal="right"/>
    </x:xf>
    <x:xf numFmtId="0" fontId="9" fillId="0" borderId="49" xfId="0" applyNumberFormat="1" applyFont="1" applyFill="1" applyBorder="1"/>
    <x:xf numFmtId="202" fontId="9" fillId="0" borderId="49" xfId="0" applyNumberFormat="1" applyFont="1" applyFill="1" applyBorder="1" applyAlignment="1">
      <x:alignment horizontal="right"/>
    </x:xf>
    <x:xf numFmtId="201" fontId="9" fillId="0" borderId="41" xfId="0" applyNumberFormat="1" applyFont="1" applyFill="1" applyBorder="1" applyAlignment="1">
      <x:alignment horizontal="right"/>
    </x:xf>
    <x:xf numFmtId="201" fontId="9" fillId="0" borderId="49" xfId="0" applyNumberFormat="1" applyFont="1" applyFill="1" applyBorder="1" applyAlignment="1">
      <x:alignment horizontal="right"/>
    </x:xf>
    <x:xf numFmtId="0" fontId="8" fillId="0" borderId="50" xfId="0" applyNumberFormat="1" applyFont="1" applyFill="1" applyBorder="1"/>
    <x:xf numFmtId="201" fontId="8" fillId="0" borderId="50" xfId="0" applyNumberFormat="1" applyFont="1" applyFill="1" applyBorder="1" applyAlignment="1">
      <x:alignment horizontal="right"/>
    </x:xf>
    <x:xf numFmtId="201" fontId="8" fillId="0" borderId="51" xfId="0" applyNumberFormat="1" applyFont="1" applyFill="1" applyBorder="1" applyAlignment="1">
      <x:alignment horizontal="right"/>
    </x:xf>
    <x:xf numFmtId="0" fontId="8" fillId="0" borderId="52" xfId="0" applyNumberFormat="1" applyFont="1" applyFill="1" applyBorder="1"/>
    <x:xf numFmtId="201" fontId="8" fillId="0" borderId="53" xfId="0" applyNumberFormat="1" applyFont="1" applyFill="1" applyBorder="1" applyAlignment="1">
      <x:alignment horizontal="right"/>
    </x:xf>
    <x:xf numFmtId="201" fontId="8" fillId="0" borderId="52" xfId="0" applyNumberFormat="1" applyFont="1" applyFill="1" applyBorder="1" applyAlignment="1">
      <x:alignment horizontal="right"/>
    </x:xf>
    <x:xf numFmtId="0" fontId="8" fillId="2" borderId="54" xfId="0" applyNumberFormat="1" applyFont="1" applyFill="1" applyBorder="1"/>
    <x:xf numFmtId="201" fontId="13" fillId="2" borderId="54" xfId="0" applyNumberFormat="1" applyFont="1" applyFill="1" applyBorder="1" applyAlignment="1">
      <x:alignment horizontal="right"/>
    </x:xf>
    <x:xf numFmtId="201" fontId="8" fillId="2" borderId="55" xfId="0" applyNumberFormat="1" applyFont="1" applyFill="1" applyBorder="1" applyAlignment="1">
      <x:alignment horizontal="right"/>
    </x:xf>
    <x:xf numFmtId="201" fontId="8" fillId="2" borderId="54" xfId="0" applyNumberFormat="1" applyFont="1" applyFill="1" applyBorder="1" applyAlignment="1">
      <x:alignment horizontal="right"/>
    </x:xf>
    <x:xf numFmtId="207" fontId="13" fillId="2" borderId="54" xfId="0" applyNumberFormat="1" applyFont="1" applyFill="1" applyBorder="1" applyAlignment="1">
      <x:alignment horizontal="right"/>
    </x:xf>
    <x:xf numFmtId="207" fontId="8" fillId="2" borderId="55" xfId="0" applyNumberFormat="1" applyFont="1" applyFill="1" applyBorder="1" applyAlignment="1">
      <x:alignment horizontal="right"/>
    </x:xf>
    <x:xf numFmtId="207" fontId="8" fillId="2" borderId="54" xfId="0" applyNumberFormat="1" applyFont="1" applyFill="1" applyBorder="1" applyAlignment="1">
      <x:alignment horizontal="right"/>
    </x:xf>
    <x:xf numFmtId="0" fontId="8" fillId="0" borderId="54" xfId="0" applyNumberFormat="1" applyFont="1" applyFill="1" applyBorder="1"/>
    <x:xf numFmtId="201" fontId="8" fillId="0" borderId="54" xfId="0" applyNumberFormat="1" applyFont="1" applyFill="1" applyBorder="1" applyAlignment="1">
      <x:alignment horizontal="right"/>
    </x:xf>
    <x:xf numFmtId="201" fontId="8" fillId="0" borderId="55" xfId="0" applyNumberFormat="1" applyFont="1" applyFill="1" applyBorder="1" applyAlignment="1">
      <x:alignment horizontal="right"/>
    </x:xf>
    <x:xf numFmtId="201" fontId="9" fillId="8" borderId="49" xfId="0" applyNumberFormat="1" applyFont="1" applyFill="1" applyBorder="1" applyAlignment="1">
      <x:alignment horizontal="right"/>
    </x:xf>
    <x:xf numFmtId="201" fontId="9" fillId="8" borderId="41" xfId="0" applyNumberFormat="1" applyFont="1" applyFill="1" applyBorder="1" applyAlignment="1">
      <x:alignment horizontal="right"/>
    </x:xf>
    <x:xf numFmtId="0" fontId="14" fillId="2" borderId="41" xfId="0" applyNumberFormat="1" applyFont="1" applyFill="1" applyBorder="1"/>
    <x:xf numFmtId="201" fontId="14" fillId="2" borderId="41" xfId="0" applyNumberFormat="1" applyFont="1" applyFill="1" applyBorder="1"/>
    <x:xf numFmtId="201" fontId="14" fillId="2" borderId="49" xfId="0" applyNumberFormat="1" applyFont="1" applyFill="1" applyBorder="1"/>
    <x:xf numFmtId="0" fontId="8" fillId="0" borderId="41" xfId="0" applyNumberFormat="1" applyFont="1" applyFill="1" applyBorder="1"/>
    <x:xf numFmtId="202" fontId="8" fillId="0" borderId="50" xfId="0" applyNumberFormat="1" applyFont="1" applyFill="1" applyBorder="1" applyAlignment="1">
      <x:alignment horizontal="right"/>
    </x:xf>
    <x:xf numFmtId="0" fontId="9" fillId="0" borderId="54" xfId="0" applyNumberFormat="1" applyFont="1" applyFill="1" applyBorder="1"/>
    <x:xf numFmtId="201" fontId="9" fillId="0" borderId="54" xfId="0" applyNumberFormat="1" applyFont="1" applyFill="1" applyBorder="1" applyAlignment="1">
      <x:alignment horizontal="right"/>
    </x:xf>
    <x:xf numFmtId="202" fontId="8" fillId="0" borderId="54" xfId="0" applyNumberFormat="1" applyFont="1" applyFill="1" applyBorder="1" applyAlignment="1">
      <x:alignment horizontal="right"/>
    </x:xf>
    <x:xf numFmtId="0" fontId="8" fillId="9" borderId="56" xfId="0" applyNumberFormat="1" applyFont="1" applyFill="1" applyBorder="1"/>
    <x:xf numFmtId="0" fontId="8" fillId="9" borderId="50" xfId="0" applyNumberFormat="1" applyFont="1" applyFill="1" applyBorder="1"/>
    <x:xf numFmtId="0" fontId="8" fillId="9" borderId="57" xfId="0" applyNumberFormat="1" applyFont="1" applyFill="1" applyBorder="1"/>
    <x:xf numFmtId="0" fontId="9" fillId="2" borderId="58" xfId="0" applyNumberFormat="1" applyFont="1" applyFill="1" applyBorder="1"/>
    <x:xf numFmtId="202" fontId="9" fillId="2" borderId="59" xfId="0" applyNumberFormat="1" applyFont="1" applyFill="1" applyBorder="1" applyAlignment="1">
      <x:alignment horizontal="right"/>
    </x:xf>
    <x:xf numFmtId="0" fontId="8" fillId="2" borderId="60" xfId="0" applyNumberFormat="1" applyFont="1" applyFill="1" applyBorder="1"/>
    <x:xf numFmtId="202" fontId="8" fillId="2" borderId="52" xfId="0" applyNumberFormat="1" applyFont="1" applyFill="1" applyBorder="1" applyAlignment="1">
      <x:alignment horizontal="right"/>
    </x:xf>
    <x:xf numFmtId="0" fontId="8" fillId="2" borderId="61" xfId="0" applyNumberFormat="1" applyFont="1" applyFill="1" applyBorder="1"/>
    <x:xf numFmtId="0" fontId="9" fillId="2" borderId="59" xfId="0" applyNumberFormat="1" applyFont="1" applyFill="1" applyBorder="1"/>
    <x:xf numFmtId="0" fontId="8" fillId="2" borderId="56" xfId="0" applyNumberFormat="1" applyFont="1" applyFill="1" applyBorder="1"/>
    <x:xf numFmtId="201" fontId="8" fillId="2" borderId="57" xfId="0" applyNumberFormat="1" applyFont="1" applyFill="1" applyBorder="1" applyAlignment="1">
      <x:alignment horizontal="right"/>
    </x:xf>
    <x:xf numFmtId="0" fontId="9" fillId="2" borderId="50" xfId="0" applyNumberFormat="1" applyFont="1" applyFill="1" applyBorder="1"/>
    <x:xf numFmtId="0" fontId="8" fillId="2" borderId="57" xfId="0" applyNumberFormat="1" applyFont="1" applyFill="1" applyBorder="1"/>
    <x:xf numFmtId="206" fontId="9" fillId="2" borderId="59" xfId="0" applyNumberFormat="1" applyFont="1" applyFill="1" applyBorder="1" applyAlignment="1">
      <x:alignment horizontal="right"/>
    </x:xf>
    <x:xf numFmtId="201" fontId="9" fillId="2" borderId="59" xfId="0" applyNumberFormat="1" applyFont="1" applyFill="1" applyBorder="1" applyAlignment="1">
      <x:alignment horizontal="right"/>
    </x:xf>
    <x:xf numFmtId="204" fontId="9" fillId="2" borderId="59" xfId="0" applyNumberFormat="1" applyFont="1" applyFill="1" applyBorder="1" applyAlignment="1">
      <x:alignment horizontal="right"/>
    </x:xf>
    <x:xf numFmtId="200" fontId="9" fillId="2" borderId="59" xfId="0" applyNumberFormat="1" applyFont="1" applyFill="1" applyBorder="1" applyAlignment="1">
      <x:alignment horizontal="right"/>
    </x:xf>
    <x:xf numFmtId="200" fontId="9" fillId="2" borderId="41" xfId="0" applyNumberFormat="1" applyFont="1" applyFill="1" applyBorder="1" applyAlignment="1">
      <x:alignment horizontal="right"/>
    </x:xf>
    <x:xf numFmtId="0" fontId="2" fillId="9" borderId="41" xfId="0" applyNumberFormat="1" applyFont="1" applyFill="1" applyBorder="1"/>
    <x:xf numFmtId="0" fontId="9" fillId="0" borderId="56" xfId="0" applyNumberFormat="1" applyFont="1" applyFill="1" applyBorder="1"/>
    <x:xf numFmtId="0" fontId="9" fillId="0" borderId="57" xfId="0" applyNumberFormat="1" applyFont="1" applyFill="1" applyBorder="1"/>
    <x:xf numFmtId="0" fontId="9" fillId="0" borderId="50" xfId="0" applyNumberFormat="1" applyFont="1" applyFill="1" applyBorder="1"/>
    <x:xf numFmtId="0" fontId="9" fillId="0" borderId="58" xfId="0" applyNumberFormat="1" applyFont="1" applyFill="1" applyBorder="1"/>
    <x:xf numFmtId="0" fontId="9" fillId="0" borderId="59" xfId="0" applyNumberFormat="1" applyFont="1" applyFill="1" applyBorder="1"/>
    <x:xf numFmtId="0" fontId="0" fillId="0" borderId="41" xfId="0" applyNumberFormat="1" applyFont="1" applyFill="1" applyBorder="1"/>
    <x:xf numFmtId="207" fontId="0" fillId="0" borderId="41" xfId="0" applyNumberFormat="1" applyFont="1" applyFill="1" applyBorder="1" applyAlignment="1">
      <x:alignment horizontal="right"/>
    </x:xf>
    <x:xf numFmtId="202" fontId="0" fillId="0" borderId="41" xfId="0" applyNumberFormat="1" applyFont="1" applyFill="1" applyBorder="1" applyAlignment="1">
      <x:alignment horizontal="right"/>
    </x:xf>
    <x:xf numFmtId="0" fontId="6" fillId="0" borderId="50" xfId="0" applyNumberFormat="1" applyFont="1" applyFill="1" applyBorder="1"/>
    <x:xf numFmtId="201" fontId="6" fillId="0" borderId="50" xfId="0" applyNumberFormat="1" applyFont="1" applyFill="1" applyBorder="1" applyAlignment="1">
      <x:alignment horizontal="right"/>
    </x:xf>
    <x:xf numFmtId="0" fontId="9" fillId="2" borderId="54" xfId="0" applyNumberFormat="1" applyFont="1" applyFill="1" applyBorder="1"/>
    <x:xf numFmtId="0" fontId="8" fillId="2" borderId="62" xfId="0" applyNumberFormat="1" applyFont="1" applyFill="1" applyBorder="1"/>
    <x:xf numFmtId="202" fontId="8" fillId="2" borderId="54" xfId="0" applyNumberFormat="1" applyFont="1" applyFill="1" applyBorder="1" applyAlignment="1">
      <x:alignment horizontal="right"/>
    </x:xf>
    <x:xf numFmtId="0" fontId="8" fillId="2" borderId="63" xfId="0" applyNumberFormat="1" applyFont="1" applyFill="1" applyBorder="1"/>
    <x:xf numFmtId="0" fontId="9" fillId="2" borderId="62" xfId="0" applyNumberFormat="1" applyFont="1" applyFill="1" applyBorder="1"/>
    <x:xf numFmtId="203" fontId="9" fillId="2" borderId="54" xfId="0" applyNumberFormat="1" applyFont="1" applyFill="1" applyBorder="1"/>
    <x:xf numFmtId="0" fontId="9" fillId="2" borderId="63" xfId="0" applyNumberFormat="1" applyFont="1" applyFill="1" applyBorder="1"/>
    <x:xf numFmtId="204" fontId="9" fillId="2" borderId="63" xfId="0" applyNumberFormat="1" applyFont="1" applyFill="1" applyBorder="1" applyAlignment="1">
      <x:alignment horizontal="right"/>
    </x:xf>
    <x:xf numFmtId="201" fontId="9" fillId="2" borderId="63" xfId="0" applyNumberFormat="1" applyFont="1" applyFill="1" applyBorder="1" applyAlignment="1">
      <x:alignment horizontal="right"/>
    </x:xf>
    <x:xf numFmtId="200" fontId="9" fillId="2" borderId="63" xfId="0" applyNumberFormat="1" applyFont="1" applyFill="1" applyBorder="1" applyAlignment="1">
      <x:alignment horizontal="right"/>
    </x:xf>
    <x:xf numFmtId="200" fontId="9" fillId="2" borderId="54" xfId="0" applyNumberFormat="1" applyFont="1" applyFill="1" applyBorder="1" applyAlignment="1">
      <x:alignment horizontal="right"/>
    </x:xf>
    <x:xf numFmtId="202" fontId="9" fillId="0" borderId="54" xfId="0" applyNumberFormat="1" applyFont="1" applyFill="1" applyBorder="1" applyAlignment="1">
      <x:alignment horizontal="right"/>
    </x:xf>
    <x:xf numFmtId="200" fontId="9" fillId="0" borderId="54" xfId="0" applyNumberFormat="1" applyFont="1" applyFill="1" applyBorder="1" applyAlignment="1">
      <x:alignment horizontal="right"/>
    </x:xf>
    <x:xf numFmtId="204" fontId="9" fillId="0" borderId="54" xfId="0" applyNumberFormat="1" applyFont="1" applyFill="1" applyBorder="1" applyAlignment="1">
      <x:alignment horizontal="right"/>
    </x:xf>
    <x:xf numFmtId="0" fontId="6" fillId="0" borderId="54" xfId="0" applyNumberFormat="1" applyFont="1" applyFill="1" applyBorder="1"/>
    <x:xf numFmtId="201" fontId="6" fillId="0" borderId="54" xfId="0" applyNumberFormat="1" applyFont="1" applyFill="1" applyBorder="1" applyAlignment="1">
      <x:alignment horizontal="right"/>
    </x:xf>
    <x:xf numFmtId="0" fontId="0" fillId="0" borderId="54" xfId="0" applyNumberFormat="1" applyFont="1" applyFill="1" applyBorder="1"/>
    <x:xf numFmtId="0" fontId="10" fillId="22" xfId="0" applyNumberFormat="1" applyFont="1" applyFill="1" applyBorder="0" applyAlignment="1">
      <x:alignment horizontal="left" vertical="center"/>
    </x:xf>
    <x:xf numFmtId="0" fontId="11" fillId="22" borderId="8" xfId="0" applyNumberFormat="1" applyFont="1" applyFill="1" applyBorder="1" applyAlignment="1">
      <x:alignment horizontal="left"/>
    </x:xf>
    <x:xf numFmtId="0" fontId="9" fillId="22" borderId="16" xfId="0" applyNumberFormat="1" applyFont="1" applyFill="1" applyBorder="1"/>
    <x:xf numFmtId="202" fontId="9" fillId="22" borderId="6" xfId="0" applyNumberFormat="1" applyFont="1" applyFill="1" applyBorder="1" applyAlignment="1">
      <x:alignment horizontal="right"/>
    </x:xf>
    <x:xf numFmtId="202" fontId="9" fillId="22" borderId="17" xfId="0" applyNumberFormat="1" applyFont="1" applyFill="1" applyBorder="1" applyAlignment="1">
      <x:alignment horizontal="right"/>
    </x:xf>
    <x:xf numFmtId="202" fontId="9" fillId="22" borderId="18" xfId="0" applyNumberFormat="1" applyFont="1" applyFill="1" applyBorder="1" applyAlignment="1">
      <x:alignment horizontal="right"/>
    </x:xf>
    <x:xf numFmtId="200" fontId="9" fillId="22" xfId="0" applyNumberFormat="1" applyFont="1" applyFill="1" applyBorder="0" applyAlignment="1">
      <x:alignment horizontal="right"/>
    </x:xf>
    <x:xf numFmtId="200" fontId="9" fillId="22" borderId="19" xfId="0" applyNumberFormat="1" applyFont="1" applyFill="1" applyBorder="1" applyAlignment="1">
      <x:alignment horizontal="right"/>
    </x:xf>
    <x:xf numFmtId="200" fontId="9" fillId="22" borderId="25" xfId="0" applyNumberFormat="1" applyFont="1" applyFill="1" applyBorder="1" applyAlignment="1">
      <x:alignment horizontal="right"/>
    </x:xf>
    <x:xf numFmtId="202" fontId="9" fillId="22" borderId="20" xfId="0" applyNumberFormat="1" applyFont="1" applyFill="1" applyBorder="1" applyAlignment="1">
      <x:alignment horizontal="right"/>
    </x:xf>
    <x:xf numFmtId="200" fontId="9" fillId="22" borderId="21" xfId="0" applyNumberFormat="1" applyFont="1" applyFill="1" applyBorder="1" applyAlignment="1">
      <x:alignment horizontal="right"/>
    </x:xf>
    <x:xf numFmtId="200" fontId="9" fillId="22" borderId="22" xfId="0" applyNumberFormat="1" applyFont="1" applyFill="1" applyBorder="1" applyAlignment="1">
      <x:alignment horizontal="right"/>
    </x:xf>
    <x:xf numFmtId="0" fontId="8" fillId="22" borderId="8" xfId="0" applyNumberFormat="1" applyFont="1" applyFill="1" applyBorder="1" applyAlignment="1">
      <x:alignment horizontal="left"/>
    </x:xf>
    <x:xf numFmtId="0" fontId="9" fillId="22" borderId="6" xfId="0" applyNumberFormat="1" applyFont="1" applyFill="1" applyBorder="1"/>
    <x:xf numFmtId="0" fontId="9" fillId="22" borderId="17" xfId="0" applyNumberFormat="1" applyFont="1" applyFill="1" applyBorder="1"/>
    <x:xf numFmtId="0" fontId="9" fillId="22" borderId="18" xfId="0" applyNumberFormat="1" applyFont="1" applyFill="1" applyBorder="1"/>
    <x:xf numFmtId="201" fontId="9" fillId="22" xfId="0" applyNumberFormat="1" applyFont="1" applyFill="1" applyBorder="0" applyAlignment="1">
      <x:alignment horizontal="right"/>
    </x:xf>
    <x:xf numFmtId="0" fontId="9" fillId="22" borderId="19" xfId="0" applyNumberFormat="1" applyFont="1" applyFill="1" applyBorder="1"/>
    <x:xf numFmtId="202" fontId="9" fillId="22" xfId="0" applyNumberFormat="1" applyFont="1" applyFill="1" applyBorder="0" applyAlignment="1">
      <x:alignment horizontal="right"/>
    </x:xf>
    <x:xf numFmtId="0" fontId="9" fillId="22" borderId="20" xfId="0" applyNumberFormat="1" applyFont="1" applyFill="1" applyBorder="1"/>
    <x:xf numFmtId="0" fontId="9" fillId="22" borderId="42" xfId="0" applyNumberFormat="1" applyFont="1" applyFill="1" applyBorder="1"/>
    <x:xf numFmtId="202" fontId="9" fillId="22" borderId="64" xfId="0" applyNumberFormat="1" applyFont="1" applyFill="1" applyBorder="1" applyAlignment="1">
      <x:alignment horizontal="right"/>
    </x:xf>
    <x:xf numFmtId="202" fontId="9" fillId="22" borderId="44" xfId="0" applyNumberFormat="1" applyFont="1" applyFill="1" applyBorder="1" applyAlignment="1">
      <x:alignment horizontal="right"/>
    </x:xf>
    <x:xf numFmtId="202" fontId="9" fillId="22" borderId="65" xfId="0" applyNumberFormat="1" applyFont="1" applyFill="1" applyBorder="1" applyAlignment="1">
      <x:alignment horizontal="right"/>
    </x:xf>
    <x:xf numFmtId="200" fontId="9" fillId="22" borderId="66" xfId="0" applyNumberFormat="1" applyFont="1" applyFill="1" applyBorder="1" applyAlignment="1">
      <x:alignment horizontal="right"/>
    </x:xf>
    <x:xf numFmtId="202" fontId="9" fillId="22" borderId="67" xfId="0" applyNumberFormat="1" applyFont="1" applyFill="1" applyBorder="1" applyAlignment="1">
      <x:alignment horizontal="right"/>
    </x:xf>
    <x:xf numFmtId="200" fontId="9" fillId="22" borderId="68" xfId="0" applyNumberFormat="1" applyFont="1" applyFill="1" applyBorder="1" applyAlignment="1">
      <x:alignment horizontal="right"/>
    </x:xf>
    <x:xf numFmtId="200" fontId="9" fillId="22" borderId="69" xfId="0" applyNumberFormat="1" applyFont="1" applyFill="1" applyBorder="1" applyAlignment="1">
      <x:alignment horizontal="right"/>
    </x:xf>
    <x:xf numFmtId="0" fontId="9" fillId="22" borderId="64" xfId="0" applyNumberFormat="1" applyFont="1" applyFill="1" applyBorder="1"/>
    <x:xf numFmtId="0" fontId="9" fillId="22" borderId="44" xfId="0" applyNumberFormat="1" applyFont="1" applyFill="1" applyBorder="1"/>
    <x:xf numFmtId="0" fontId="9" fillId="22" borderId="65" xfId="0" applyNumberFormat="1" applyFont="1" applyFill="1" applyBorder="1"/>
    <x:xf numFmtId="0" fontId="9" fillId="22" borderId="66" xfId="0" applyNumberFormat="1" applyFont="1" applyFill="1" applyBorder="1"/>
    <x:xf numFmtId="0" fontId="9" fillId="22" borderId="67" xfId="0" applyNumberFormat="1" applyFont="1" applyFill="1" applyBorder="1"/>
    <x:xf numFmtId="201" fontId="9" fillId="22" borderId="66" xfId="0" applyNumberFormat="1" applyFont="1" applyFill="1" applyBorder="1" applyAlignment="1">
      <x:alignment horizontal="right"/>
    </x:xf>
    <x:xf numFmtId="201" fontId="9" fillId="22" borderId="68" xfId="0" applyNumberFormat="1" applyFont="1" applyFill="1" applyBorder="1" applyAlignment="1">
      <x:alignment horizontal="right"/>
    </x:xf>
    <x:xf numFmtId="201" fontId="9" fillId="22" borderId="69" xfId="0" applyNumberFormat="1" applyFont="1" applyFill="1" applyBorder="1" applyAlignment="1">
      <x:alignment horizontal="right"/>
    </x:xf>
    <x:xf numFmtId="202" fontId="9" fillId="22" borderId="66" xfId="0" applyNumberFormat="1" applyFont="1" applyFill="1" applyBorder="1" applyAlignment="1">
      <x:alignment horizontal="right"/>
    </x:xf>
    <x:xf numFmtId="202" fontId="9" fillId="22" borderId="68" xfId="0" applyNumberFormat="1" applyFont="1" applyFill="1" applyBorder="1" applyAlignment="1">
      <x:alignment horizontal="right"/>
    </x:xf>
    <x:xf numFmtId="202" fontId="9" fillId="22" borderId="69" xfId="0" applyNumberFormat="1" applyFont="1" applyFill="1" applyBorder="1" applyAlignment="1">
      <x:alignment horizontal="right"/>
    </x:xf>
    <x:xf numFmtId="0" fontId="9" fillId="22" borderId="69" xfId="0" applyNumberFormat="1" applyFont="1" applyFill="1" applyBorder="1"/>
    <x:xf numFmtId="0" fontId="8" fillId="4" borderId="41" xfId="0" applyNumberFormat="1" applyFont="1" applyFill="1" applyBorder="1"/>
    <x:xf numFmtId="204" fontId="8" fillId="4" borderId="41" xfId="0" applyNumberFormat="1" applyFont="1" applyFill="1" applyBorder="1" applyAlignment="1">
      <x:alignment horizontal="right"/>
    </x:xf>
    <x:xf numFmtId="0" fontId="12" fillId="0" borderId="41" xfId="0" applyNumberFormat="1" applyFont="1" applyFill="1" applyBorder="1"/>
    <x:xf numFmtId="200" fontId="12" fillId="0" borderId="41" xfId="0" applyNumberFormat="1" applyFont="1" applyFill="1" applyBorder="1" applyAlignment="1">
      <x:alignment horizontal="right"/>
    </x:xf>
    <x:xf numFmtId="202" fontId="12" fillId="0" borderId="41" xfId="0" applyNumberFormat="1" applyFont="1" applyFill="1" applyBorder="1" applyAlignment="1">
      <x:alignment horizontal="right"/>
    </x:xf>
    <x:xf numFmtId="201" fontId="12" fillId="0" borderId="41" xfId="0" applyNumberFormat="1" applyFont="1" applyFill="1" applyBorder="1" applyAlignment="1">
      <x:alignment horizontal="right"/>
    </x:xf>
    <x:xf numFmtId="204" fontId="12" fillId="0" borderId="41" xfId="0" applyNumberFormat="1" applyFont="1" applyFill="1" applyBorder="1" applyAlignment="1">
      <x:alignment horizontal="right"/>
    </x:xf>
    <x:xf numFmtId="207" fontId="12" fillId="0" borderId="41" xfId="0" applyNumberFormat="1" applyFont="1" applyFill="1" applyBorder="1" applyAlignment="1">
      <x:alignment horizontal="right"/>
    </x:xf>
    <x:xf numFmtId="0" fontId="2" fillId="28" borderId="48" xfId="0" applyNumberFormat="1" applyFont="1" applyFill="1" applyBorder="1" applyAlignment="1">
      <x:alignment wrapText="1"/>
    </x:xf>
    <x:xf numFmtId="0" fontId="9" fillId="22" xfId="0" applyNumberFormat="1" applyFont="1" applyFill="1" applyBorder="0" applyAlignment="1">
      <x:alignment wrapText="1"/>
    </x:xf>
    <x:xf numFmtId="0" fontId="9" fillId="22" borderId="41" xfId="0" applyNumberFormat="1" applyFont="1" applyFill="1" applyBorder="1" applyAlignment="1">
      <x:alignment wrapText="1"/>
    </x:xf>
    <x:xf numFmtId="0" fontId="8" fillId="22" borderId="2" xfId="0" applyNumberFormat="1" applyFont="1" applyFill="1" applyBorder="1" applyAlignment="1">
      <x:alignment horizontal="left"/>
    </x:xf>
    <x:xf numFmtId="200" fontId="9" fillId="22" borderId="41" xfId="0" applyNumberFormat="1" applyFont="1" applyFill="1" applyBorder="1" applyAlignment="1">
      <x:alignment horizontal="right"/>
    </x:xf>
    <x:xf numFmtId="0" fontId="28" fillId="22" borderId="0" xfId="0" applyNumberFormat="1" applyFont="1" applyFill="1" applyBorder="1"/>
    <x:xf numFmtId="209" fontId="29" fillId="22" borderId="42" xfId="0" applyNumberFormat="1" applyFont="1" applyFill="1" applyBorder="1" applyAlignment="1">
      <x:alignment horizontal="center" vertical="center"/>
    </x:xf>
    <x:xf numFmtId="206" fontId="29" fillId="22" borderId="42" xfId="0" applyNumberFormat="1" applyFont="1" applyFill="1" applyBorder="1" applyAlignment="1">
      <x:alignment horizontal="center" vertical="center"/>
    </x:xf>
    <x:xf numFmtId="208" fontId="29" fillId="22" borderId="42" xfId="0" applyNumberFormat="1" applyFont="1" applyFill="1" applyBorder="1" applyAlignment="1">
      <x:alignment horizontal="center" vertical="center"/>
    </x:xf>
    <x:xf numFmtId="208" fontId="30" fillId="27" borderId="37" xfId="0" applyNumberFormat="1" applyFont="1" applyFill="1" applyBorder="1" applyAlignment="1">
      <x:alignment horizontal="center"/>
    </x:xf>
    <x:xf numFmtId="206" fontId="31" fillId="22" borderId="40" xfId="0" applyNumberFormat="1" applyFont="1" applyFill="1" applyBorder="1" applyAlignment="1">
      <x:alignment horizontal="right"/>
    </x:xf>
    <x:xf numFmtId="209" fontId="31" fillId="22" borderId="40" xfId="0" applyNumberFormat="1" applyFont="1" applyFill="1" applyBorder="1" applyAlignment="1">
      <x:alignment horizontal="right"/>
    </x:xf>
    <x:xf numFmtId="204" fontId="31" fillId="22" borderId="40" xfId="0" applyNumberFormat="1" applyFont="1" applyFill="1" applyBorder="1" applyAlignment="1">
      <x:alignment horizontal="right"/>
    </x:xf>
    <x:xf numFmtId="206" fontId="31" fillId="22" borderId="41" xfId="0" applyNumberFormat="1" applyFont="1" applyFill="1" applyBorder="1" applyAlignment="1">
      <x:alignment horizontal="right"/>
    </x:xf>
    <x:xf numFmtId="0" fontId="32" fillId="22" borderId="30" xfId="0" applyNumberFormat="1" applyFont="1" applyFill="1" applyBorder="1"/>
    <x:xf numFmtId="205" fontId="31" fillId="22" borderId="40" xfId="0" applyNumberFormat="1" applyFont="1" applyFill="1" applyBorder="1" applyAlignment="1">
      <x:alignment horizontal="right"/>
    </x:xf>
    <x:xf numFmtId="208" fontId="33" fillId="22" xfId="0" applyNumberFormat="1" applyFont="1" applyFill="1" applyBorder="0" applyAlignment="1">
      <x:alignment horizontal="right"/>
    </x:xf>
    <x:xf numFmtId="206" fontId="34" fillId="22" xfId="0" applyNumberFormat="1" applyFont="1" applyFill="1" applyBorder="0" applyAlignment="1">
      <x:alignment horizontal="right"/>
    </x:xf>
    <x:xf numFmtId="201" fontId="33" fillId="22" xfId="0" applyNumberFormat="1" applyFont="1" applyFill="1" applyBorder="0"/>
    <x:xf numFmtId="208" fontId="33" fillId="22" xfId="0" applyNumberFormat="1" applyFont="1" applyFill="1" applyBorder="0"/>
    <x:xf numFmtId="206" fontId="34" fillId="22" xfId="0" applyNumberFormat="1" applyFont="1" applyFill="1" applyBorder="0"/>
    <x:xf numFmtId="208" fontId="34" fillId="22" xfId="0" applyNumberFormat="1" applyFont="1" applyFill="1" applyBorder="0"/>
    <x:xf numFmtId="206" fontId="34" fillId="22" borderId="41" xfId="0" applyNumberFormat="1" applyFont="1" applyFill="1" applyBorder="1"/>
    <x:xf numFmtId="208" fontId="35" fillId="29" borderId="41" xfId="0" applyNumberFormat="1" applyFont="1" applyFill="1" applyBorder="1"/>
    <x:xf numFmtId="206" fontId="36" fillId="29" borderId="41" xfId="0" applyNumberFormat="1" applyFont="1" applyFill="1" applyBorder="1"/>
    <x:xf numFmtId="208" fontId="36" fillId="29" borderId="41" xfId="0" applyNumberFormat="1" applyFont="1" applyFill="1" applyBorder="1"/>
    <x:xf numFmtId="204" fontId="33" fillId="22" xfId="0" applyNumberFormat="1" applyFont="1" applyFill="1" applyBorder="0"/>
    <x:xf numFmtId="205" fontId="33" fillId="22" xfId="0" applyNumberFormat="1" applyFont="1" applyFill="1" applyBorder="0"/>
    <x:xf numFmtId="206" fontId="33" fillId="22" xfId="0" applyNumberFormat="1" applyFont="1" applyFill="1" applyBorder="0"/>
    <x:xf numFmtId="206" fontId="33" fillId="22" borderId="41" xfId="0" applyNumberFormat="1" applyFont="1" applyFill="1" applyBorder="1"/>
    <x:xf numFmtId="0" fontId="37" fillId="22" borderId="41" xfId="0" applyNumberFormat="1" applyFont="1" applyFill="1" applyBorder="1"/>
    <x:xf numFmtId="201" fontId="37" fillId="22" borderId="41" xfId="0" applyNumberFormat="1" applyFont="1" applyFill="1" applyBorder="1" applyAlignment="1">
      <x:alignment horizontal="right"/>
    </x:xf>
    <x:xf numFmtId="202" fontId="37" fillId="22" borderId="41" xfId="0" applyNumberFormat="1" applyFont="1" applyFill="1" applyBorder="1" applyAlignment="1">
      <x:alignment horizontal="right"/>
    </x:xf>
    <x:xf numFmtId="203" fontId="37" fillId="22" borderId="41" xfId="0" applyNumberFormat="1" applyFont="1" applyFill="1" applyBorder="1"/>
    <x:xf numFmtId="204" fontId="37" fillId="22" borderId="41" xfId="0" applyNumberFormat="1" applyFont="1" applyFill="1" applyBorder="1" applyAlignment="1">
      <x:alignment horizontal="right"/>
    </x:xf>
    <x:xf numFmtId="0" fontId="38" fillId="0" borderId="0" xfId="0" applyNumberFormat="1" applyFont="1" applyFill="1" applyBorder="1"/>
    <x:xf numFmtId="0" fontId="39" fillId="2" borderId="41" xfId="0" applyNumberFormat="1" applyFont="1" applyFill="1" applyBorder="1"/>
    <x:xf numFmtId="0" fontId="33" fillId="2" borderId="49" xfId="0" applyNumberFormat="1" applyFont="1" applyFill="1" applyBorder="1"/>
    <x:xf numFmtId="0" fontId="33" fillId="2" borderId="41" xfId="0" applyNumberFormat="1" applyFont="1" applyFill="1" applyBorder="1"/>
    <x:xf numFmtId="202" fontId="33" fillId="2" borderId="49" xfId="0" applyNumberFormat="1" applyFont="1" applyFill="1" applyBorder="1" applyAlignment="1">
      <x:alignment horizontal="right"/>
    </x:xf>
    <x:xf numFmtId="202" fontId="33" fillId="2" borderId="41" xfId="0" applyNumberFormat="1" applyFont="1" applyFill="1" applyBorder="1" applyAlignment="1">
      <x:alignment horizontal="right"/>
    </x:xf>
    <x:xf numFmtId="207" fontId="40" fillId="2" borderId="41" xfId="0" applyNumberFormat="1" applyFont="1" applyFill="1" applyBorder="1" applyAlignment="1">
      <x:alignment horizontal="right"/>
    </x:xf>
    <x:xf numFmtId="207" fontId="34" fillId="2" borderId="49" xfId="0" applyNumberFormat="1" applyFont="1" applyFill="1" applyBorder="1" applyAlignment="1">
      <x:alignment horizontal="right"/>
    </x:xf>
    <x:xf numFmtId="207" fontId="34" fillId="2" borderId="41" xfId="0" applyNumberFormat="1" applyFont="1" applyFill="1" applyBorder="1" applyAlignment="1">
      <x:alignment horizontal="right"/>
    </x:xf>
    <x:xf numFmtId="207" fontId="39" fillId="2" borderId="41" xfId="0" applyNumberFormat="1" applyFont="1" applyFill="1" applyBorder="1" applyAlignment="1">
      <x:alignment horizontal="right"/>
    </x:xf>
    <x:xf numFmtId="202" fontId="41" fillId="2" borderId="41" xfId="0" applyNumberFormat="1" applyFont="1" applyFill="1" applyBorder="1" applyAlignment="1">
      <x:alignment horizontal="right"/>
    </x:xf>
    <x:xf numFmtId="202" fontId="34" fillId="2" borderId="49" xfId="0" applyNumberFormat="1" applyFont="1" applyFill="1" applyBorder="1" applyAlignment="1">
      <x:alignment horizontal="right"/>
    </x:xf>
    <x:xf numFmtId="202" fontId="34" fillId="2" borderId="41" xfId="0" applyNumberFormat="1" applyFont="1" applyFill="1" applyBorder="1" applyAlignment="1">
      <x:alignment horizontal="right"/>
    </x:xf>
    <x:xf numFmtId="207" fontId="41" fillId="2" borderId="41" xfId="0" applyNumberFormat="1" applyFont="1" applyFill="1" applyBorder="1" applyAlignment="1">
      <x:alignment horizontal="right"/>
    </x:xf>
    <x:xf numFmtId="201" fontId="42" fillId="2" borderId="54" xfId="0" applyNumberFormat="1" applyFont="1" applyFill="1" applyBorder="1" applyAlignment="1">
      <x:alignment horizontal="right"/>
    </x:xf>
    <x:xf numFmtId="201" fontId="43" fillId="2" borderId="55" xfId="0" applyNumberFormat="1" applyFont="1" applyFill="1" applyBorder="1" applyAlignment="1">
      <x:alignment horizontal="right"/>
    </x:xf>
    <x:xf numFmtId="201" fontId="43" fillId="2" borderId="54" xfId="0" applyNumberFormat="1" applyFont="1" applyFill="1" applyBorder="1" applyAlignment="1">
      <x:alignment horizontal="right"/>
    </x:xf>
    <x:xf numFmtId="201" fontId="41" fillId="2" borderId="41" xfId="0" applyNumberFormat="1" applyFont="1" applyFill="1" applyBorder="1" applyAlignment="1">
      <x:alignment horizontal="right"/>
    </x:xf>
    <x:xf numFmtId="201" fontId="34" fillId="2" borderId="49" xfId="0" applyNumberFormat="1" applyFont="1" applyFill="1" applyBorder="1" applyAlignment="1">
      <x:alignment horizontal="right"/>
    </x:xf>
    <x:xf numFmtId="201" fontId="34" fillId="2" borderId="41" xfId="0" applyNumberFormat="1" applyFont="1" applyFill="1" applyBorder="1" applyAlignment="1">
      <x:alignment horizontal="right"/>
    </x:xf>
    <x:xf numFmtId="201" fontId="44" fillId="2" borderId="54" xfId="0" applyNumberFormat="1" applyFont="1" applyFill="1" applyBorder="1" applyAlignment="1">
      <x:alignment horizontal="right"/>
    </x:xf>
    <x:xf numFmtId="201" fontId="45" fillId="2" borderId="55" xfId="0" applyNumberFormat="1" applyFont="1" applyFill="1" applyBorder="1" applyAlignment="1">
      <x:alignment horizontal="right"/>
    </x:xf>
    <x:xf numFmtId="201" fontId="45" fillId="2" borderId="54" xfId="0" applyNumberFormat="1" applyFont="1" applyFill="1" applyBorder="1" applyAlignment="1">
      <x:alignment horizontal="right"/>
    </x:xf>
    <x:xf numFmtId="207" fontId="44" fillId="2" borderId="50" xfId="0" applyNumberFormat="1" applyFont="1" applyFill="1" applyBorder="1" applyAlignment="1">
      <x:alignment horizontal="right"/>
    </x:xf>
    <x:xf numFmtId="207" fontId="43" fillId="2" borderId="51" xfId="0" applyNumberFormat="1" applyFont="1" applyFill="1" applyBorder="1" applyAlignment="1">
      <x:alignment horizontal="right"/>
    </x:xf>
    <x:xf numFmtId="207" fontId="43" fillId="2" borderId="50" xfId="0" applyNumberFormat="1" applyFont="1" applyFill="1" applyBorder="1" applyAlignment="1">
      <x:alignment horizontal="right"/>
    </x:xf>
    <x:xf numFmtId="207" fontId="42" fillId="2" borderId="54" xfId="0" applyNumberFormat="1" applyFont="1" applyFill="1" applyBorder="1" applyAlignment="1">
      <x:alignment horizontal="right"/>
    </x:xf>
    <x:xf numFmtId="207" fontId="43" fillId="2" borderId="55" xfId="0" applyNumberFormat="1" applyFont="1" applyFill="1" applyBorder="1" applyAlignment="1">
      <x:alignment horizontal="right"/>
    </x:xf>
    <x:xf numFmtId="207" fontId="43" fillId="2" borderId="54" xfId="0" applyNumberFormat="1" applyFont="1" applyFill="1" applyBorder="1" applyAlignment="1">
      <x:alignment horizontal="right"/>
    </x:xf>
    <x:xf numFmtId="201" fontId="42" fillId="2" borderId="50" xfId="0" applyNumberFormat="1" applyFont="1" applyFill="1" applyBorder="1" applyAlignment="1">
      <x:alignment horizontal="right"/>
    </x:xf>
    <x:xf numFmtId="201" fontId="43" fillId="2" borderId="51" xfId="0" applyNumberFormat="1" applyFont="1" applyFill="1" applyBorder="1" applyAlignment="1">
      <x:alignment horizontal="right"/>
    </x:xf>
    <x:xf numFmtId="201" fontId="43" fillId="2" borderId="50" xfId="0" applyNumberFormat="1" applyFont="1" applyFill="1" applyBorder="1" applyAlignment="1">
      <x:alignment horizontal="right"/>
    </x:xf>
    <x:xf numFmtId="207" fontId="44" fillId="4" borderId="41" xfId="0" applyNumberFormat="1" applyFont="1" applyFill="1" applyBorder="1" applyAlignment="1">
      <x:alignment horizontal="right"/>
    </x:xf>
    <x:xf numFmtId="207" fontId="43" fillId="4" borderId="49" xfId="0" applyNumberFormat="1" applyFont="1" applyFill="1" applyBorder="1" applyAlignment="1">
      <x:alignment horizontal="right"/>
    </x:xf>
    <x:xf numFmtId="207" fontId="43" fillId="4" borderId="41" xfId="0" applyNumberFormat="1" applyFont="1" applyFill="1" applyBorder="1" applyAlignment="1">
      <x:alignment horizontal="right"/>
    </x:xf>
    <x:xf numFmtId="201" fontId="40" fillId="2" borderId="41" xfId="0" applyNumberFormat="1" applyFont="1" applyFill="1" applyBorder="1" applyAlignment="1">
      <x:alignment horizontal="right"/>
    </x:xf>
    <x:xf numFmtId="201" fontId="44" fillId="4" borderId="41" xfId="0" applyNumberFormat="1" applyFont="1" applyFill="1" applyBorder="1" applyAlignment="1">
      <x:alignment horizontal="right"/>
    </x:xf>
    <x:xf numFmtId="201" fontId="43" fillId="4" borderId="49" xfId="0" applyNumberFormat="1" applyFont="1" applyFill="1" applyBorder="1" applyAlignment="1">
      <x:alignment horizontal="right"/>
    </x:xf>
    <x:xf numFmtId="201" fontId="43" fillId="4" borderId="41" xfId="0" applyNumberFormat="1" applyFont="1" applyFill="1" applyBorder="1" applyAlignment="1">
      <x:alignment horizontal="right"/>
    </x:xf>
    <x:xf numFmtId="201" fontId="39" fillId="2" borderId="41" xfId="0" applyNumberFormat="1" applyFont="1" applyFill="1" applyBorder="1" applyAlignment="1">
      <x:alignment horizontal="right"/>
    </x:xf>
    <x:xf numFmtId="201" fontId="32" fillId="2" borderId="49" xfId="0" applyNumberFormat="1" applyFont="1" applyFill="1" applyBorder="1" applyAlignment="1">
      <x:alignment horizontal="right"/>
    </x:xf>
    <x:xf numFmtId="201" fontId="32" fillId="2" borderId="41" xfId="0" applyNumberFormat="1" applyFont="1" applyFill="1" applyBorder="1" applyAlignment="1">
      <x:alignment horizontal="right"/>
    </x:xf>
    <x:xf numFmtId="207" fontId="33" fillId="2" borderId="49" xfId="0" applyNumberFormat="1" applyFont="1" applyFill="1" applyBorder="1" applyAlignment="1">
      <x:alignment horizontal="right"/>
    </x:xf>
    <x:xf numFmtId="207" fontId="33" fillId="2" borderId="41" xfId="0" applyNumberFormat="1" applyFont="1" applyFill="1" applyBorder="1" applyAlignment="1">
      <x:alignment horizontal="right"/>
    </x:xf>
    <x:xf numFmtId="201" fontId="43" fillId="2" borderId="49" xfId="0" applyNumberFormat="1" applyFont="1" applyFill="1" applyBorder="1" applyAlignment="1">
      <x:alignment horizontal="right"/>
    </x:xf>
    <x:xf numFmtId="201" fontId="43" fillId="2" borderId="41" xfId="0" applyNumberFormat="1" applyFont="1" applyFill="1" applyBorder="1" applyAlignment="1">
      <x:alignment horizontal="right"/>
    </x:xf>
    <x:xf numFmtId="201" fontId="33" fillId="2" borderId="41" xfId="0" applyNumberFormat="1" applyFont="1" applyFill="1" applyBorder="1" applyAlignment="1">
      <x:alignment horizontal="right"/>
    </x:xf>
    <x:xf numFmtId="202" fontId="32" fillId="2" borderId="41" xfId="0" applyNumberFormat="1" applyFont="1" applyFill="1" applyBorder="1" applyAlignment="1">
      <x:alignment horizontal="right"/>
    </x:xf>
    <x:xf numFmtId="202" fontId="32" fillId="2" borderId="49" xfId="0" applyNumberFormat="1" applyFont="1" applyFill="1" applyBorder="1" applyAlignment="1">
      <x:alignment horizontal="right"/>
    </x:xf>
    <x:xf numFmtId="0" fontId="34" fillId="0" borderId="49" xfId="0" applyNumberFormat="1" applyFont="1" applyFill="1" applyBorder="1"/>
    <x:xf numFmtId="0" fontId="34" fillId="0" borderId="41" xfId="0" applyNumberFormat="1" applyFont="1" applyFill="1" applyBorder="1"/>
    <x:xf numFmtId="202" fontId="32" fillId="0" borderId="49" xfId="0" applyNumberFormat="1" applyFont="1" applyFill="1" applyBorder="1" applyAlignment="1">
      <x:alignment horizontal="right"/>
    </x:xf>
    <x:xf numFmtId="202" fontId="32" fillId="0" borderId="41" xfId="0" applyNumberFormat="1" applyFont="1" applyFill="1" applyBorder="1" applyAlignment="1">
      <x:alignment horizontal="right"/>
    </x:xf>
    <x:xf numFmtId="201" fontId="34" fillId="0" borderId="49" xfId="0" applyNumberFormat="1" applyFont="1" applyFill="1" applyBorder="1" applyAlignment="1">
      <x:alignment horizontal="right"/>
    </x:xf>
    <x:xf numFmtId="201" fontId="34" fillId="0" borderId="41" xfId="0" applyNumberFormat="1" applyFont="1" applyFill="1" applyBorder="1" applyAlignment="1">
      <x:alignment horizontal="right"/>
    </x:xf>
    <x:xf numFmtId="201" fontId="45" fillId="0" borderId="54" xfId="0" applyNumberFormat="1" applyFont="1" applyFill="1" applyBorder="1" applyAlignment="1">
      <x:alignment horizontal="right"/>
    </x:xf>
    <x:xf numFmtId="201" fontId="43" fillId="0" borderId="55" xfId="0" applyNumberFormat="1" applyFont="1" applyFill="1" applyBorder="1" applyAlignment="1">
      <x:alignment horizontal="right"/>
    </x:xf>
    <x:xf numFmtId="201" fontId="43" fillId="0" borderId="54" xfId="0" applyNumberFormat="1" applyFont="1" applyFill="1" applyBorder="1" applyAlignment="1">
      <x:alignment horizontal="right"/>
    </x:xf>
    <x:xf numFmtId="201" fontId="33" fillId="0" borderId="49" xfId="0" applyNumberFormat="1" applyFont="1" applyFill="1" applyBorder="1" applyAlignment="1">
      <x:alignment horizontal="right"/>
    </x:xf>
    <x:xf numFmtId="201" fontId="33" fillId="0" borderId="41" xfId="0" applyNumberFormat="1" applyFont="1" applyFill="1" applyBorder="1" applyAlignment="1">
      <x:alignment horizontal="right"/>
    </x:xf>
    <x:xf numFmtId="202" fontId="33" fillId="0" borderId="49" xfId="0" applyNumberFormat="1" applyFont="1" applyFill="1" applyBorder="1" applyAlignment="1">
      <x:alignment horizontal="right"/>
    </x:xf>
    <x:xf numFmtId="202" fontId="33" fillId="0" borderId="41" xfId="0" applyNumberFormat="1" applyFont="1" applyFill="1" applyBorder="1" applyAlignment="1">
      <x:alignment horizontal="right"/>
    </x:xf>
    <x:xf numFmtId="201" fontId="43" fillId="0" borderId="51" xfId="0" applyNumberFormat="1" applyFont="1" applyFill="1" applyBorder="1" applyAlignment="1">
      <x:alignment horizontal="right"/>
    </x:xf>
    <x:xf numFmtId="201" fontId="43" fillId="0" borderId="50" xfId="0" applyNumberFormat="1" applyFont="1" applyFill="1" applyBorder="1" applyAlignment="1">
      <x:alignment horizontal="right"/>
    </x:xf>
    <x:xf numFmtId="201" fontId="45" fillId="2" borderId="49" xfId="0" applyNumberFormat="1" applyFont="1" applyFill="1" applyBorder="1" applyAlignment="1">
      <x:alignment horizontal="right"/>
    </x:xf>
    <x:xf numFmtId="201" fontId="33" fillId="8" borderId="49" xfId="0" applyNumberFormat="1" applyFont="1" applyFill="1" applyBorder="1" applyAlignment="1">
      <x:alignment horizontal="right"/>
    </x:xf>
    <x:xf numFmtId="201" fontId="33" fillId="8" borderId="41" xfId="0" applyNumberFormat="1" applyFont="1" applyFill="1" applyBorder="1" applyAlignment="1">
      <x:alignment horizontal="right"/>
    </x:xf>
    <x:xf numFmtId="201" fontId="34" fillId="8" borderId="49" xfId="0" applyNumberFormat="1" applyFont="1" applyFill="1" applyBorder="1" applyAlignment="1">
      <x:alignment horizontal="right"/>
    </x:xf>
    <x:xf numFmtId="201" fontId="34" fillId="8" borderId="41" xfId="0" applyNumberFormat="1" applyFont="1" applyFill="1" applyBorder="1" applyAlignment="1">
      <x:alignment horizontal="right"/>
    </x:xf>
    <x:xf numFmtId="201" fontId="46" fillId="2" borderId="41" xfId="0" applyNumberFormat="1" applyFont="1" applyFill="1" applyBorder="1"/>
    <x:xf numFmtId="201" fontId="33" fillId="0" borderId="54" xfId="0" applyNumberFormat="1" applyFont="1" applyFill="1" applyBorder="1" applyAlignment="1">
      <x:alignment horizontal="right"/>
    </x:xf>
    <x:xf numFmtId="201" fontId="34" fillId="0" borderId="54" xfId="0" applyNumberFormat="1" applyFont="1" applyFill="1" applyBorder="1" applyAlignment="1">
      <x:alignment horizontal="right"/>
    </x:xf>
    <x:xf numFmtId="0" fontId="47" fillId="0" borderId="54" xfId="0" applyNumberFormat="1" applyFont="1" applyFill="1" applyBorder="1"/>
    <x:xf numFmtId="202" fontId="34" fillId="0" borderId="41" xfId="0" applyNumberFormat="1" applyFont="1" applyFill="1" applyBorder="1" applyAlignment="1">
      <x:alignment horizontal="right"/>
    </x:xf>
    <x:xf numFmtId="202" fontId="43" fillId="0" borderId="54" xfId="0" applyNumberFormat="1" applyFont="1" applyFill="1" applyBorder="1" applyAlignment="1">
      <x:alignment horizontal="right"/>
    </x:xf>
    <x:xf numFmtId="202" fontId="34" fillId="2" borderId="59" xfId="0" applyNumberFormat="1" applyFont="1" applyFill="1" applyBorder="1" applyAlignment="1">
      <x:alignment horizontal="right"/>
    </x:xf>
    <x:xf numFmtId="202" fontId="33" fillId="2" xfId="0" applyNumberFormat="1" applyFont="1" applyFill="1" applyBorder="0" applyAlignment="1">
      <x:alignment horizontal="right"/>
    </x:xf>
    <x:xf numFmtId="202" fontId="43" fillId="2" borderId="54" xfId="0" applyNumberFormat="1" applyFont="1" applyFill="1" applyBorder="1" applyAlignment="1">
      <x:alignment horizontal="right"/>
    </x:xf>
    <x:xf numFmtId="203" fontId="33" fillId="2" borderId="54" xfId="0" applyNumberFormat="1" applyFont="1" applyFill="1" applyBorder="1"/>
    <x:xf numFmtId="202" fontId="48" fillId="13" borderId="21" xfId="0" applyNumberFormat="1" applyFont="1" applyFill="1" applyBorder="1" applyAlignment="1">
      <x:alignment horizontal="right"/>
    </x:xf>
    <x:xf numFmtId="206" fontId="34" fillId="2" borderId="59" xfId="0" applyNumberFormat="1" applyFont="1" applyFill="1" applyBorder="1" applyAlignment="1">
      <x:alignment horizontal="right"/>
    </x:xf>
    <x:xf numFmtId="201" fontId="34" fillId="2" borderId="59" xfId="0" applyNumberFormat="1" applyFont="1" applyFill="1" applyBorder="1" applyAlignment="1">
      <x:alignment horizontal="right"/>
    </x:xf>
    <x:xf numFmtId="201" fontId="33" fillId="2" borderId="59" xfId="0" applyNumberFormat="1" applyFont="1" applyFill="1" applyBorder="1" applyAlignment="1">
      <x:alignment horizontal="right"/>
    </x:xf>
    <x:xf numFmtId="204" fontId="33" fillId="2" borderId="63" xfId="0" applyNumberFormat="1" applyFont="1" applyFill="1" applyBorder="1" applyAlignment="1">
      <x:alignment horizontal="right"/>
    </x:xf>
    <x:xf numFmtId="201" fontId="34" fillId="2" borderId="63" xfId="0" applyNumberFormat="1" applyFont="1" applyFill="1" applyBorder="1" applyAlignment="1">
      <x:alignment horizontal="right"/>
    </x:xf>
    <x:xf numFmtId="200" fontId="34" fillId="2" borderId="63" xfId="0" applyNumberFormat="1" applyFont="1" applyFill="1" applyBorder="1" applyAlignment="1">
      <x:alignment horizontal="right"/>
    </x:xf>
    <x:xf numFmtId="200" fontId="33" fillId="2" borderId="63" xfId="0" applyNumberFormat="1" applyFont="1" applyFill="1" applyBorder="1" applyAlignment="1">
      <x:alignment horizontal="right"/>
    </x:xf>
    <x:xf numFmtId="202" fontId="34" fillId="0" borderId="54" xfId="0" applyNumberFormat="1" applyFont="1" applyFill="1" applyBorder="1" applyAlignment="1">
      <x:alignment horizontal="right"/>
    </x:xf>
    <x:xf numFmtId="200" fontId="34" fillId="0" borderId="54" xfId="0" applyNumberFormat="1" applyFont="1" applyFill="1" applyBorder="1" applyAlignment="1">
      <x:alignment horizontal="right"/>
    </x:xf>
    <x:xf numFmtId="204" fontId="33" fillId="0" borderId="54" xfId="0" applyNumberFormat="1" applyFont="1" applyFill="1" applyBorder="1" applyAlignment="1">
      <x:alignment horizontal="right"/>
    </x:xf>
    <x:xf numFmtId="200" fontId="34" fillId="0" borderId="41" xfId="0" applyNumberFormat="1" applyFont="1" applyFill="1" applyBorder="1" applyAlignment="1">
      <x:alignment horizontal="right"/>
    </x:xf>
    <x:xf numFmtId="207" fontId="49" fillId="0" borderId="41" xfId="0" applyNumberFormat="1" applyFont="1" applyFill="1" applyBorder="1" applyAlignment="1">
      <x:alignment horizontal="right"/>
    </x:xf>
    <x:xf numFmtId="202" fontId="50" fillId="0" borderId="41" xfId="0" applyNumberFormat="1" applyFont="1" applyFill="1" applyBorder="1" applyAlignment="1">
      <x:alignment horizontal="right"/>
    </x:xf>
    <x:xf numFmtId="201" fontId="51" fillId="0" borderId="54" xfId="0" applyNumberFormat="1" applyFont="1" applyFill="1" applyBorder="1" applyAlignment="1">
      <x:alignment horizontal="right"/>
    </x:xf>
    <x:xf numFmtId="202" fontId="32" fillId="22" borderId="64" xfId="0" applyNumberFormat="1" applyFont="1" applyFill="1" applyBorder="1" applyAlignment="1">
      <x:alignment horizontal="right"/>
    </x:xf>
    <x:xf numFmtId="202" fontId="32" fillId="22" borderId="44" xfId="0" applyNumberFormat="1" applyFont="1" applyFill="1" applyBorder="1" applyAlignment="1">
      <x:alignment horizontal="right"/>
    </x:xf>
    <x:xf numFmtId="202" fontId="32" fillId="22" borderId="65" xfId="0" applyNumberFormat="1" applyFont="1" applyFill="1" applyBorder="1" applyAlignment="1">
      <x:alignment horizontal="right"/>
    </x:xf>
    <x:xf numFmtId="200" fontId="33" fillId="22" xfId="0" applyNumberFormat="1" applyFont="1" applyFill="1" applyBorder="0" applyAlignment="1">
      <x:alignment horizontal="right"/>
    </x:xf>
    <x:xf numFmtId="200" fontId="33" fillId="22" borderId="66" xfId="0" applyNumberFormat="1" applyFont="1" applyFill="1" applyBorder="1" applyAlignment="1">
      <x:alignment horizontal="right"/>
    </x:xf>
    <x:xf numFmtId="200" fontId="33" fillId="22" borderId="25" xfId="0" applyNumberFormat="1" applyFont="1" applyFill="1" applyBorder="1" applyAlignment="1">
      <x:alignment horizontal="right"/>
    </x:xf>
    <x:xf numFmtId="202" fontId="32" fillId="22" borderId="67" xfId="0" applyNumberFormat="1" applyFont="1" applyFill="1" applyBorder="1" applyAlignment="1">
      <x:alignment horizontal="right"/>
    </x:xf>
    <x:xf numFmtId="200" fontId="33" fillId="22" borderId="68" xfId="0" applyNumberFormat="1" applyFont="1" applyFill="1" applyBorder="1" applyAlignment="1">
      <x:alignment horizontal="right"/>
    </x:xf>
    <x:xf numFmtId="200" fontId="33" fillId="22" borderId="69" xfId="0" applyNumberFormat="1" applyFont="1" applyFill="1" applyBorder="1" applyAlignment="1">
      <x:alignment horizontal="right"/>
    </x:xf>
    <x:xf numFmtId="201" fontId="33" fillId="22" xfId="0" applyNumberFormat="1" applyFont="1" applyFill="1" applyBorder="0" applyAlignment="1">
      <x:alignment horizontal="right"/>
    </x:xf>
    <x:xf numFmtId="201" fontId="34" fillId="22" xfId="0" applyNumberFormat="1" applyFont="1" applyFill="1" applyBorder="0" applyAlignment="1">
      <x:alignment horizontal="right"/>
    </x:xf>
    <x:xf numFmtId="202" fontId="33" fillId="22" xfId="0" applyNumberFormat="1" applyFont="1" applyFill="1" applyBorder="0" applyAlignment="1">
      <x:alignment horizontal="right"/>
    </x:xf>
    <x:xf numFmtId="201" fontId="33" fillId="22" borderId="66" xfId="0" applyNumberFormat="1" applyFont="1" applyFill="1" applyBorder="1" applyAlignment="1">
      <x:alignment horizontal="right"/>
    </x:xf>
    <x:xf numFmtId="201" fontId="33" fillId="22" borderId="68" xfId="0" applyNumberFormat="1" applyFont="1" applyFill="1" applyBorder="1" applyAlignment="1">
      <x:alignment horizontal="right"/>
    </x:xf>
    <x:xf numFmtId="201" fontId="33" fillId="22" borderId="69" xfId="0" applyNumberFormat="1" applyFont="1" applyFill="1" applyBorder="1" applyAlignment="1">
      <x:alignment horizontal="right"/>
    </x:xf>
    <x:xf numFmtId="202" fontId="33" fillId="22" borderId="66" xfId="0" applyNumberFormat="1" applyFont="1" applyFill="1" applyBorder="1" applyAlignment="1">
      <x:alignment horizontal="right"/>
    </x:xf>
    <x:xf numFmtId="202" fontId="33" fillId="22" borderId="68" xfId="0" applyNumberFormat="1" applyFont="1" applyFill="1" applyBorder="1" applyAlignment="1">
      <x:alignment horizontal="right"/>
    </x:xf>
    <x:xf numFmtId="202" fontId="33" fillId="22" borderId="69" xfId="0" applyNumberFormat="1" applyFont="1" applyFill="1" applyBorder="1" applyAlignment="1">
      <x:alignment horizontal="right"/>
    </x:xf>
    <x:xf numFmtId="201" fontId="32" fillId="0" borderId="41" xfId="0" applyNumberFormat="1" applyFont="1" applyFill="1" applyBorder="1" applyAlignment="1">
      <x:alignment horizontal="right"/>
    </x:xf>
    <x:xf numFmtId="204" fontId="34" fillId="0" borderId="41" xfId="0" applyNumberFormat="1" applyFont="1" applyFill="1" applyBorder="1" applyAlignment="1">
      <x:alignment horizontal="right"/>
    </x:xf>
    <x:xf numFmtId="204" fontId="43" fillId="4" borderId="41" xfId="0" applyNumberFormat="1" applyFont="1" applyFill="1" applyBorder="1" applyAlignment="1">
      <x:alignment horizontal="right"/>
    </x:xf>
    <x:xf numFmtId="201" fontId="33" fillId="0" borderId="0" xfId="0" applyNumberFormat="1" applyFont="1" applyFill="1" applyBorder="1" applyAlignment="1">
      <x:alignment horizontal="right"/>
    </x:xf>
    <x:xf numFmtId="202" fontId="33" fillId="0" borderId="0" xfId="0" applyNumberFormat="1" applyFont="1" applyFill="1" applyBorder="1" applyAlignment="1">
      <x:alignment horizontal="right"/>
    </x:xf>
    <x:xf numFmtId="200" fontId="33" fillId="0" borderId="41" xfId="0" applyNumberFormat="1" applyFont="1" applyFill="1" applyBorder="1" applyAlignment="1">
      <x:alignment horizontal="right"/>
    </x:xf>
    <x:xf numFmtId="200" fontId="39" fillId="0" borderId="41" xfId="0" applyNumberFormat="1" applyFont="1" applyFill="1" applyBorder="1" applyAlignment="1">
      <x:alignment horizontal="right"/>
    </x:xf>
    <x:xf numFmtId="202" fontId="39" fillId="0" borderId="41" xfId="0" applyNumberFormat="1" applyFont="1" applyFill="1" applyBorder="1" applyAlignment="1">
      <x:alignment horizontal="right"/>
    </x:xf>
    <x:xf numFmtId="201" fontId="39" fillId="0" borderId="41" xfId="0" applyNumberFormat="1" applyFont="1" applyFill="1" applyBorder="1" applyAlignment="1">
      <x:alignment horizontal="right"/>
    </x:xf>
    <x:xf numFmtId="204" fontId="39" fillId="0" borderId="41" xfId="0" applyNumberFormat="1" applyFont="1" applyFill="1" applyBorder="1" applyAlignment="1">
      <x:alignment horizontal="right"/>
    </x:xf>
    <x:xf numFmtId="207" fontId="39" fillId="0" borderId="41" xfId="0" applyNumberFormat="1" applyFont="1" applyFill="1" applyBorder="1" applyAlignment="1">
      <x:alignment horizontal="right"/>
    </x:xf>
    <x:xf numFmtId="0" fontId="38" fillId="22" borderId="0" xfId="0" applyNumberFormat="1" applyFont="1" applyFill="1" applyBorder="1"/>
    <x:xf numFmtId="202" fontId="33" fillId="0" xfId="0" applyNumberFormat="1" applyFont="1" applyFill="1" applyBorder="0" applyAlignment="1">
      <x:alignment horizontal="right"/>
    </x:xf>
    <x:xf numFmtId="205" fontId="33" fillId="0" xfId="0" applyNumberFormat="1" applyFont="1" applyFill="1" applyBorder="0"/>
    <x:xf numFmtId="204" fontId="33" fillId="0" xfId="0" applyNumberFormat="1" applyFont="1" applyFill="1" applyBorder="0" applyAlignment="1">
      <x:alignment horizontal="right"/>
    </x:xf>
    <x:xf numFmtId="204" fontId="33" fillId="0" borderId="41" xfId="0" applyNumberFormat="1" applyFont="1" applyFill="1" applyBorder="1" applyAlignment="1">
      <x:alignment horizontal="right"/>
    </x:xf>
    <x:xf numFmtId="202" fontId="34" fillId="0" xfId="0" applyNumberFormat="1" applyFont="1" applyFill="1" applyBorder="0" applyAlignment="1">
      <x:alignment horizontal="right"/>
    </x:xf>
    <x:xf numFmtId="202" fontId="32" fillId="0" xfId="0" applyNumberFormat="1" applyFont="1" applyFill="1" applyBorder="0" applyAlignment="1">
      <x:alignment horizontal="right"/>
    </x:xf>
    <x:xf numFmtId="204" fontId="34" fillId="0" xfId="0" applyNumberFormat="1" applyFont="1" applyFill="1" applyBorder="0" applyAlignment="1">
      <x:alignment horizontal="right"/>
    </x:xf>
    <x:xf numFmtId="204" fontId="32" fillId="0" xfId="0" applyNumberFormat="1" applyFont="1" applyFill="1" applyBorder="0" applyAlignment="1">
      <x:alignment horizontal="right"/>
    </x:xf>
    <x:xf numFmtId="202" fontId="43" fillId="0" borderId="6" xfId="0" applyNumberFormat="1" applyFont="1" applyFill="1" applyBorder="1" applyAlignment="1">
      <x:alignment horizontal="right"/>
    </x:xf>
    <x:xf numFmtId="201" fontId="33" fillId="0" xfId="0" applyNumberFormat="1" applyFont="1" applyFill="1" applyBorder="0" applyAlignment="1">
      <x:alignment horizontal="right"/>
    </x:xf>
    <x:xf numFmtId="201" fontId="34" fillId="0" xfId="0" applyNumberFormat="1" applyFont="1" applyFill="1" applyBorder="0" applyAlignment="1">
      <x:alignment horizontal="right"/>
    </x:xf>
    <x:xf numFmtId="207" fontId="33" fillId="0" xfId="0" applyNumberFormat="1" applyFont="1" applyFill="1" applyBorder="0" applyAlignment="1">
      <x:alignment horizontal="right"/>
    </x:xf>
    <x:xf numFmtId="207" fontId="34" fillId="0" xfId="0" applyNumberFormat="1" applyFont="1" applyFill="1" applyBorder="0" applyAlignment="1">
      <x:alignment horizontal="right"/>
    </x:xf>
    <x:xf numFmtId="202" fontId="45" fillId="0" borderId="6" xfId="0" applyNumberFormat="1" applyFont="1" applyFill="1" applyBorder="1" applyAlignment="1">
      <x:alignment horizontal="right"/>
    </x:xf>
    <x:xf numFmtId="207" fontId="32" fillId="0" xfId="0" applyNumberFormat="1" applyFont="1" applyFill="1" applyBorder="0" applyAlignment="1">
      <x:alignment horizontal="right"/>
    </x:xf>
    <x:xf numFmtId="201" fontId="39" fillId="0" xfId="0" applyNumberFormat="1" applyFont="1" applyFill="1" applyBorder="0" applyAlignment="1">
      <x:alignment horizontal="right"/>
    </x:xf>
    <x:xf numFmtId="201" fontId="43" fillId="0" borderId="6" xfId="0" applyNumberFormat="1" applyFont="1" applyFill="1" applyBorder="1" applyAlignment="1">
      <x:alignment horizontal="right"/>
    </x:xf>
    <x:xf numFmtId="201" fontId="43" fillId="0" borderId="14" xfId="0" applyNumberFormat="1" applyFont="1" applyFill="1" applyBorder="1" applyAlignment="1">
      <x:alignment horizontal="right"/>
    </x:xf>
  </x:cellXfs>
  <x:cellStyles count="1">
    <x:cellStyle name="Normal" xfId="0"/>
  </x:cellStyles>
  <x:dxfs count="90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80367980342ad" /><Relationship Type="http://schemas.openxmlformats.org/officeDocument/2006/relationships/theme" Target="/xl/theme/theme1.xml" Id="R0bdb68ceda804e0e" /><Relationship Type="http://schemas.openxmlformats.org/officeDocument/2006/relationships/sharedStrings" Target="/xl/sharedStrings.xml" Id="Rc6d6e9f36a76421c" /><Relationship Type="http://schemas.openxmlformats.org/officeDocument/2006/relationships/worksheet" Target="/xl/worksheets/sheet1.xml" Id="Re58324f8341c43ea" /><Relationship Type="http://schemas.openxmlformats.org/officeDocument/2006/relationships/worksheet" Target="/xl/worksheets/sheet2.xml" Id="Rec8a4e377782423f" /><Relationship Type="http://schemas.openxmlformats.org/officeDocument/2006/relationships/worksheet" Target="/xl/worksheets/sheet3.xml" Id="R37ec45e7577a413e" /><Relationship Type="http://schemas.openxmlformats.org/officeDocument/2006/relationships/worksheet" Target="/xl/worksheets/sheet4.xml" Id="Rc67dbaf943514340" /><Relationship Type="http://schemas.openxmlformats.org/officeDocument/2006/relationships/worksheet" Target="/xl/worksheets/sheet5.xml" Id="Rb115fa064ae14090" /><Relationship Type="http://schemas.openxmlformats.org/officeDocument/2006/relationships/worksheet" Target="/xl/worksheets/sheet6.xml" Id="R40de521466ef436d" /><Relationship Type="http://schemas.openxmlformats.org/officeDocument/2006/relationships/worksheet" Target="/xl/worksheets/sheet7.xml" Id="R691cf40984d94aa9" /><Relationship Type="http://schemas.openxmlformats.org/officeDocument/2006/relationships/worksheet" Target="/xl/worksheets/sheet8.xml" Id="R71b1d4392f004580" /><Relationship Type="http://schemas.openxmlformats.org/officeDocument/2006/relationships/worksheet" Target="/xl/worksheets/sheet9.xml" Id="RdataFeed0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44e69ee7fe4a88" /><Relationship Type="http://schemas.openxmlformats.org/officeDocument/2006/relationships/chart" Target="/xl/drawings/charts/chart2.xml" Id="Rfdc3ce8dd3c842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2126d6fe46340e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31631f5f9d04970" /><Relationship Type="http://schemas.openxmlformats.org/officeDocument/2006/relationships/chart" Target="/xl/drawings/charts/chart5.xml" Id="Re5668fb4980d4c5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06996f053bba439e" /><Relationship Type="http://schemas.openxmlformats.org/officeDocument/2006/relationships/chart" Target="/xl/drawings/charts/chart7.xml" Id="Ra199b995ee614eef" /><Relationship Type="http://schemas.openxmlformats.org/officeDocument/2006/relationships/chart" Target="/xl/drawings/charts/chart8.xml" Id="Rd3a77e6be5d746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&amp; EBITDA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'00_Dashboard'!$Y$3:$Y$10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'00_Dashboard'!$Z$3:$Z$10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ROE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'00_Dashboard'!$Y$14:$Y$21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'00_Dashboard'!$Z$14:$Z$21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'00_Dashboard'!$AA$14:$AA$21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Operating Model Overview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2023A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'02_Operating_Model'!$Y$3:$Y$5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2024A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'02_Operating_Model'!$Z$3:$Z$5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2025A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'02_Operating_Model'!$AA$3:$AA$5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2026E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'02_Operating_Model'!$AB$3:$AB$5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2027E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'02_Operating_Model'!$AC$3:$AC$5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2028E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'02_Operating_Model'!$AD$3:$AD$5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2029E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'02_Operating_Model'!$AE$3:$AE$5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2030E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'02_Operating_Model'!$AF$3:$AF$5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Implied Share Price by Method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Implied Price</c:v>
          </c:tx>
          <c:cat>
            <c:strRef>
              <c:f>'06_Comparable_Valuation'!$X$3:$X$6</c:f>
              <c:strCache>
                <c:ptCount val="0"/>
              </c:strCache>
            </c:strRef>
          </c:cat>
          <c:val>
            <c:numRef>
              <c:f>'06_Comparable_Valuation'!$Y$3:$Y$6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$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Football Field Valuation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Low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'06_Comparable_Valuation'!$B$67:$B$70</c:f>
              <c:numCache>
                <c:formatCode>$0.00;[Red]($0.00);-</c:formatCode>
                <c:ptCount val="0"/>
              </c:numCache>
            </c:numRef>
          </c:val>
        </c:ser>
        <c:ser>
          <c:idx val="1"/>
          <c:order val="1"/>
          <c:tx>
            <c:v>Mid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'06_Comparable_Valuation'!$C$67:$C$70</c:f>
              <c:numCache>
                <c:formatCode>$0.00;[Red]($0.00);-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'06_Comparable_Valuation'!$D$67:$D$70</c:f>
              <c:numCache>
                <c:formatCode>$0.00;[Red]($0.00);-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Return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'07_Analysis_Scenarios'!$Y$3:$Y$10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'07_Analysis_Scenarios'!$Z$3:$Z$10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'07_Analysis_Scenarios'!$AA$3:$AA$10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Comparison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'07_Analysis_Scenarios'!$Y$14:$Y$16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'07_Analysis_Scenarios'!$Z$14:$Z$16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UFCF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'07_Analysis_Scenarios'!$AA$14:$AA$16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Benchmark Snapshot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DemoCo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'07_Analysis_Scenarios'!$Y$20:$Y$22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Low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'07_Analysis_Scenarios'!$Z$20:$Z$22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Median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'07_Analysis_Scenarios'!$AA$20:$AA$22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High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'07_Analysis_Scenarios'!$AB$20:$AB$22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7267575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267575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44e69ee7fe4a88"/>
        </a:graphicData>
      </a:graphic>
    </xdr:graphicFrame>
    <xdr:clientData/>
  </xdr:oneCellAnchor>
  <xdr:oneCellAnchor>
    <xdr:from>
      <xdr:col>7</xdr:col>
      <xdr:colOff>0</xdr:colOff>
      <xdr:row>16</xdr:row>
      <xdr:rowOff>0</xdr:rowOff>
    </xdr:from>
    <xdr:ext cx="680085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800850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c3ce8dd3c842ff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7629525" cy="4000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629525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26d6fe46340ed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11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1631f5f9d04970"/>
        </a:graphicData>
      </a:graphic>
    </xdr:graphicFrame>
    <xdr:clientData/>
  </xdr:oneCellAnchor>
  <xdr:oneCellAnchor>
    <xdr:from>
      <xdr:col>11</xdr:col>
      <xdr:colOff>0</xdr:colOff>
      <xdr:row>27</xdr:row>
      <xdr:rowOff>0</xdr:rowOff>
    </xdr:from>
    <xdr:ext cx="6096000" cy="4381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381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668fb4980d4c5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996f053bba439e"/>
        </a:graphicData>
      </a:graphic>
    </xdr:graphicFrame>
    <xdr:clientData/>
  </xdr:oneCellAnchor>
  <xdr:oneCellAnchor>
    <xdr:from>
      <xdr:col>10</xdr:col>
      <xdr:colOff>0</xdr:colOff>
      <xdr:row>26</xdr:row>
      <xdr:rowOff>0</xdr:rowOff>
    </xdr:from>
    <xdr:ext cx="6096000" cy="4000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99b995ee614eef"/>
        </a:graphicData>
      </a:graphic>
    </xdr:graphicFrame>
    <xdr:clientData/>
  </xdr:oneCellAnchor>
  <xdr:oneCellAnchor>
    <xdr:from>
      <xdr:col>10</xdr:col>
      <xdr:colOff>0</xdr:colOff>
      <xdr:row>49</xdr:row>
      <xdr:rowOff>0</xdr:rowOff>
    </xdr:from>
    <xdr:ext cx="6096000" cy="4000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a77e6be5d7460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0c9b27c484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4bb2eb6d45d47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bf804e7dd48349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c17351cf858a4e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3" hidden="0" customWidth="1"/>
    <x:col min="12" max="12" width="13" hidden="0" customWidth="1"/>
    <x:col min="13" max="13" width="16" hidden="0" customWidth="1"/>
    <x:col min="14" max="14" width="14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30" customHeight="1">
      <x:c r="A1" s="647" t="str">
        <x:v>Management Dashboard | Financial Performance, Valuation &amp; Risk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  <x:c r="N1" s="647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 ht="18" customHeight="1">
      <x:c r="A2" s="650" t="str">
        <x:f>"Management view | "&amp;B8&amp;" case | 2026E–2030E forecast | All figures in USD thousands unless stated"</x:f>
      </x:c>
      <x:c r="B2" s="650"/>
      <x:c r="C2" s="650"/>
      <x:c r="D2" s="650"/>
      <x:c r="E2" s="650"/>
      <x:c r="F2" s="650"/>
      <x:c r="G2" s="650"/>
      <x:c r="H2" s="650"/>
      <x:c r="I2" s="650"/>
      <x:c r="J2" s="650"/>
      <x:c r="K2" s="650"/>
      <x:c r="L2" s="650"/>
      <x:c r="M2" s="650"/>
      <x:c r="N2" s="650"/>
      <x:c r="X2" s="808" t="str">
        <x:v>Year</x:v>
      </x:c>
      <x:c r="Y2" s="808" t="str">
        <x:v>Revenue</x:v>
      </x:c>
      <x:c r="Z2" s="808" t="str">
        <x:v>EBITDA</x:v>
      </x:c>
      <x:c r="AA2" s="808"/>
      <x:c r="AB2" s="808"/>
      <x:c r="AC2" s="808"/>
      <x:c r="AD2" s="808"/>
      <x:c r="AE2" s="808"/>
      <x:c r="AF2" s="808"/>
    </x:row>
    <x:row r="3">
      <x:c r="A3" s="627"/>
      <x:c r="B3" s="627"/>
      <x:c r="C3" s="627"/>
      <x:c r="D3" s="627"/>
      <x:c r="E3" s="627"/>
      <x:c r="F3" s="627"/>
      <x:c r="G3" s="627"/>
      <x:c r="H3" s="627"/>
      <x:c r="I3" s="627"/>
      <x:c r="J3" s="627"/>
      <x:c r="K3" s="627"/>
      <x:c r="L3" s="627"/>
      <x:c r="M3" s="627"/>
      <x:c r="N3" s="627"/>
      <x:c r="X3" s="808" t="str">
        <x:v>2023A</x:v>
      </x:c>
      <x:c r="Y3" s="1005" t="n">
        <x:f>'03_3_Statement_Model'!B8</x:f>
      </x:c>
      <x:c r="Z3" s="1005" t="n">
        <x:f>'03_3_Statement_Model'!B15</x:f>
      </x:c>
      <x:c r="AA3" s="808"/>
      <x:c r="AB3" s="808"/>
      <x:c r="AC3" s="808"/>
      <x:c r="AD3" s="808"/>
      <x:c r="AE3" s="808"/>
      <x:c r="AF3" s="808"/>
    </x:row>
    <x:row r="4">
      <x:c r="A4" s="652" t="str">
        <x:v>MODEL CONTROLS</x:v>
      </x:c>
      <x:c r="B4" s="652"/>
      <x:c r="C4" s="652"/>
      <x:c r="D4" s="684" t="str">
        <x:v>2026E REVENUE</x:v>
      </x:c>
      <x:c r="E4" s="684"/>
      <x:c r="F4" s="684"/>
      <x:c r="G4" s="684" t="str">
        <x:v>2030E EBITDA MARGIN</x:v>
      </x:c>
      <x:c r="H4" s="684"/>
      <x:c r="I4" s="684"/>
      <x:c r="J4" s="684" t="str">
        <x:v>2030E UFCF</x:v>
      </x:c>
      <x:c r="K4" s="684"/>
      <x:c r="L4" s="684"/>
      <x:c r="M4" s="684" t="str">
        <x:v>IMPLIED SHARE PRICE</x:v>
      </x:c>
      <x:c r="N4" s="684"/>
      <x:c r="X4" s="808" t="str">
        <x:v>2024A</x:v>
      </x:c>
      <x:c r="Y4" s="1005" t="n">
        <x:f>'03_3_Statement_Model'!C8</x:f>
      </x:c>
      <x:c r="Z4" s="1005" t="n">
        <x:f>'03_3_Statement_Model'!C15</x:f>
      </x:c>
      <x:c r="AA4" s="808"/>
      <x:c r="AB4" s="808"/>
      <x:c r="AC4" s="808"/>
      <x:c r="AD4" s="808"/>
      <x:c r="AE4" s="808"/>
      <x:c r="AF4" s="808"/>
    </x:row>
    <x:row r="5">
      <x:c r="A5" s="674" t="str">
        <x:v>Company</x:v>
      </x:c>
      <x:c r="B5" s="630" t="str">
        <x:v>Demo Manufacturing plc</x:v>
      </x:c>
      <x:c r="C5" s="677"/>
      <x:c r="D5" s="629"/>
      <x:c r="E5" s="630"/>
      <x:c r="F5" s="628"/>
      <x:c r="G5" s="629"/>
      <x:c r="H5" s="630"/>
      <x:c r="I5" s="628"/>
      <x:c r="J5" s="629"/>
      <x:c r="K5" s="630"/>
      <x:c r="L5" s="628"/>
      <x:c r="M5" s="628"/>
      <x:c r="N5" s="628"/>
      <x:c r="X5" s="808" t="str">
        <x:v>2025A</x:v>
      </x:c>
      <x:c r="Y5" s="1005" t="n">
        <x:f>'03_3_Statement_Model'!D8</x:f>
      </x:c>
      <x:c r="Z5" s="1005" t="n">
        <x:f>'03_3_Statement_Model'!D15</x:f>
      </x:c>
      <x:c r="AA5" s="808"/>
      <x:c r="AB5" s="808"/>
      <x:c r="AC5" s="808"/>
      <x:c r="AD5" s="808"/>
      <x:c r="AE5" s="808"/>
      <x:c r="AF5" s="808"/>
    </x:row>
    <x:row r="6">
      <x:c r="A6" s="675" t="str">
        <x:v>Currency</x:v>
      </x:c>
      <x:c r="B6" s="632" t="str">
        <x:v>USD</x:v>
      </x:c>
      <x:c r="C6" s="678"/>
      <x:c r="D6" s="1006" t="n">
        <x:f>'03_3_Statement_Model'!E8</x:f>
      </x:c>
      <x:c r="E6" s="707"/>
      <x:c r="F6" s="708"/>
      <x:c r="G6" s="1007" t="n">
        <x:f>'03_3_Statement_Model'!I15/'03_3_Statement_Model'!I8</x:f>
      </x:c>
      <x:c r="H6" s="725"/>
      <x:c r="I6" s="726"/>
      <x:c r="J6" s="1006" t="n">
        <x:f>'04_DCF_Valuation'!F11</x:f>
      </x:c>
      <x:c r="K6" s="707"/>
      <x:c r="L6" s="708"/>
      <x:c r="M6" s="1008" t="n">
        <x:f>'04_DCF_Valuation'!B54</x:f>
      </x:c>
      <x:c r="N6" s="744"/>
      <x:c r="X6" s="808" t="str">
        <x:v>2026E</x:v>
      </x:c>
      <x:c r="Y6" s="1005" t="n">
        <x:f>'03_3_Statement_Model'!E8</x:f>
      </x:c>
      <x:c r="Z6" s="1005" t="n">
        <x:f>'03_3_Statement_Model'!E15</x:f>
      </x:c>
      <x:c r="AA6" s="808"/>
      <x:c r="AB6" s="808"/>
      <x:c r="AC6" s="808"/>
      <x:c r="AD6" s="808"/>
      <x:c r="AE6" s="808"/>
      <x:c r="AF6" s="808"/>
    </x:row>
    <x:row r="7">
      <x:c r="A7" s="675" t="str">
        <x:v>Units</x:v>
      </x:c>
      <x:c r="B7" s="632" t="str">
        <x:v>$000</x:v>
      </x:c>
      <x:c r="C7" s="678"/>
      <x:c r="D7" s="709"/>
      <x:c r="E7" s="710"/>
      <x:c r="F7" s="711"/>
      <x:c r="G7" s="727"/>
      <x:c r="H7" s="728"/>
      <x:c r="I7" s="729"/>
      <x:c r="J7" s="709"/>
      <x:c r="K7" s="710"/>
      <x:c r="L7" s="711"/>
      <x:c r="M7" s="745"/>
      <x:c r="N7" s="746"/>
      <x:c r="X7" s="808" t="str">
        <x:v>2027E</x:v>
      </x:c>
      <x:c r="Y7" s="1005" t="n">
        <x:f>'03_3_Statement_Model'!F8</x:f>
      </x:c>
      <x:c r="Z7" s="1005" t="n">
        <x:f>'03_3_Statement_Model'!F15</x:f>
      </x:c>
      <x:c r="AA7" s="808"/>
      <x:c r="AB7" s="808"/>
      <x:c r="AC7" s="808"/>
      <x:c r="AD7" s="808"/>
      <x:c r="AE7" s="808"/>
      <x:c r="AF7" s="808"/>
    </x:row>
    <x:row r="8">
      <x:c r="A8" s="675" t="str">
        <x:v>Active Scenario</x:v>
      </x:c>
      <x:c r="B8" s="666" t="str">
        <x:v>Base</x:v>
      </x:c>
      <x:c r="C8" s="667" t="str">
        <x:v>▼</x:v>
      </x:c>
      <x:c r="D8" s="631"/>
      <x:c r="E8" s="634"/>
      <x:c r="F8" s="628"/>
      <x:c r="G8" s="631"/>
      <x:c r="H8" s="635"/>
      <x:c r="I8" s="628"/>
      <x:c r="J8" s="631"/>
      <x:c r="K8" s="632"/>
      <x:c r="L8" s="628"/>
      <x:c r="M8" s="628"/>
      <x:c r="N8" s="628"/>
      <x:c r="X8" s="808" t="str">
        <x:v>2028E</x:v>
      </x:c>
      <x:c r="Y8" s="1005" t="n">
        <x:f>'03_3_Statement_Model'!G8</x:f>
      </x:c>
      <x:c r="Z8" s="1005" t="n">
        <x:f>'03_3_Statement_Model'!G15</x:f>
      </x:c>
      <x:c r="AA8" s="808"/>
      <x:c r="AB8" s="808"/>
      <x:c r="AC8" s="808"/>
      <x:c r="AD8" s="808"/>
      <x:c r="AE8" s="808"/>
      <x:c r="AF8" s="808"/>
    </x:row>
    <x:row r="9">
      <x:c r="A9" s="675" t="str">
        <x:v>Valuation Method</x:v>
      </x:c>
      <x:c r="B9" s="668" t="str">
        <x:v>Perpetuity</x:v>
      </x:c>
      <x:c r="C9" s="669" t="str">
        <x:v>▼</x:v>
      </x:c>
      <x:c r="D9" s="750" t="str">
        <x:v>FINANCIAL OUTLOOK &amp; BALANCE SHEET</x:v>
      </x:c>
      <x:c r="E9" s="751"/>
      <x:c r="F9" s="652"/>
      <x:c r="G9" s="750"/>
      <x:c r="H9" s="751"/>
      <x:c r="I9" s="652"/>
      <x:c r="J9" s="750"/>
      <x:c r="K9" s="752"/>
      <x:c r="L9" s="652"/>
      <x:c r="M9" s="652"/>
      <x:c r="N9" s="652"/>
      <x:c r="X9" s="808" t="str">
        <x:v>2029E</x:v>
      </x:c>
      <x:c r="Y9" s="1005" t="n">
        <x:f>'03_3_Statement_Model'!H8</x:f>
      </x:c>
      <x:c r="Z9" s="1005" t="n">
        <x:f>'03_3_Statement_Model'!H15</x:f>
      </x:c>
      <x:c r="AA9" s="808"/>
      <x:c r="AB9" s="808"/>
      <x:c r="AC9" s="808"/>
      <x:c r="AD9" s="808"/>
      <x:c r="AE9" s="808"/>
      <x:c r="AF9" s="808"/>
    </x:row>
    <x:row r="10">
      <x:c r="A10" s="675" t="str">
        <x:v>Current Share Price</x:v>
      </x:c>
      <x:c r="B10" s="1009" t="n">
        <x:v>18.5</x:v>
      </x:c>
      <x:c r="C10" s="678"/>
      <x:c r="D10" s="754" t="str">
        <x:v>Revenue CAGR</x:v>
      </x:c>
      <x:c r="E10" s="1010" t="n">
        <x:f>('03_3_Statement_Model'!I8/'03_3_Statement_Model'!D8)^(1/5)-1</x:f>
      </x:c>
      <x:c r="F10" s="628"/>
      <x:c r="G10" s="754" t="str">
        <x:v>2030 Cash</x:v>
      </x:c>
      <x:c r="H10" s="1011" t="n">
        <x:f>'03_3_Statement_Model'!I57</x:f>
      </x:c>
      <x:c r="I10" s="628"/>
      <x:c r="J10" s="754" t="str">
        <x:v>Current Ratio</x:v>
      </x:c>
      <x:c r="K10" s="1012" t="n">
        <x:f>'07_Analysis_Scenarios'!I82</x:f>
      </x:c>
      <x:c r="L10" s="628"/>
      <x:c r="M10" s="773" t="str">
        <x:v>WACC</x:v>
      </x:c>
      <x:c r="N10" s="1013" t="n">
        <x:f>'04_DCF_Valuation'!B29</x:f>
      </x:c>
      <x:c r="X10" s="808" t="str">
        <x:v>2030E</x:v>
      </x:c>
      <x:c r="Y10" s="1005" t="n">
        <x:f>'03_3_Statement_Model'!I8</x:f>
      </x:c>
      <x:c r="Z10" s="1005" t="n">
        <x:f>'03_3_Statement_Model'!I15</x:f>
      </x:c>
      <x:c r="AA10" s="808"/>
      <x:c r="AB10" s="808"/>
      <x:c r="AC10" s="808"/>
      <x:c r="AD10" s="808"/>
      <x:c r="AE10" s="808"/>
      <x:c r="AF10" s="808"/>
    </x:row>
    <x:row r="11">
      <x:c r="A11" s="675" t="str">
        <x:v>Forecast Horizon</x:v>
      </x:c>
      <x:c r="B11" s="1014" t="n">
        <x:v>5</x:v>
      </x:c>
      <x:c r="C11" s="678"/>
      <x:c r="D11" s="754" t="str">
        <x:v>2030 Net Income</x:v>
      </x:c>
      <x:c r="E11" s="1011" t="n">
        <x:f>'03_3_Statement_Model'!I26</x:f>
      </x:c>
      <x:c r="F11" s="628"/>
      <x:c r="G11" s="754" t="str">
        <x:v>2030 Debt</x:v>
      </x:c>
      <x:c r="H11" s="1011" t="n">
        <x:f>'03_3_Statement_Model'!I65</x:f>
      </x:c>
      <x:c r="I11" s="628"/>
      <x:c r="J11" s="754" t="str">
        <x:v>Interest Coverage</x:v>
      </x:c>
      <x:c r="K11" s="1012" t="n">
        <x:f>'07_Analysis_Scenarios'!I81</x:f>
      </x:c>
      <x:c r="L11" s="628"/>
      <x:c r="M11" s="773" t="str">
        <x:v>Terminal Growth</x:v>
      </x:c>
      <x:c r="N11" s="1013" t="n">
        <x:f>'04_DCF_Valuation'!B28</x:f>
      </x:c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>
      <x:c r="A12" s="675" t="str">
        <x:v>Revenue Engine</x:v>
      </x:c>
      <x:c r="B12" s="666" t="str">
        <x:v>Unit Economics</x:v>
      </x:c>
      <x:c r="C12" s="667" t="str">
        <x:v>▼</x:v>
      </x:c>
      <x:c r="D12" s="760" t="str">
        <x:v>2030 ROE</x:v>
      </x:c>
      <x:c r="E12" s="1010" t="n">
        <x:f>'07_Analysis_Scenarios'!I70</x:f>
      </x:c>
      <x:c r="F12" s="628"/>
      <x:c r="G12" s="760" t="str">
        <x:v>Debt / EBITDA</x:v>
      </x:c>
      <x:c r="H12" s="1012" t="n">
        <x:f>'07_Analysis_Scenarios'!I80</x:f>
      </x:c>
      <x:c r="I12" s="628"/>
      <x:c r="J12" s="760" t="str">
        <x:v>Cash Conversion Cycle</x:v>
      </x:c>
      <x:c r="K12" s="1015" t="n">
        <x:f>'07_Analysis_Scenarios'!I77</x:f>
      </x:c>
      <x:c r="L12" s="628"/>
      <x:c r="M12" s="773" t="str">
        <x:v>Premium / (Discount)</x:v>
      </x:c>
      <x:c r="N12" s="1013" t="n">
        <x:f>'04_DCF_Valuation'!H36</x:f>
      </x:c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>
      <x:c r="A13" s="679" t="str">
        <x:v>Version</x:v>
      </x:c>
      <x:c r="B13" s="680" t="str">
        <x:v>V13</x:v>
      </x:c>
      <x:c r="C13" s="681"/>
      <x:c r="D13" s="628"/>
      <x:c r="E13" s="628"/>
      <x:c r="F13" s="628"/>
      <x:c r="G13" s="628"/>
      <x:c r="H13" s="628"/>
      <x:c r="I13" s="628"/>
      <x:c r="J13" s="628"/>
      <x:c r="K13" s="628"/>
      <x:c r="L13" s="628"/>
      <x:c r="M13" s="628"/>
      <x:c r="N13" s="628"/>
      <x:c r="X13" s="808" t="str">
        <x:v>Year</x:v>
      </x:c>
      <x:c r="Y13" s="808" t="str">
        <x:v>EBITDA Margin</x:v>
      </x:c>
      <x:c r="Z13" s="808" t="str">
        <x:v>Net Margin</x:v>
      </x:c>
      <x:c r="AA13" s="808" t="str">
        <x:v>ROE</x:v>
      </x:c>
      <x:c r="AB13" s="808"/>
      <x:c r="AC13" s="808"/>
      <x:c r="AD13" s="808"/>
      <x:c r="AE13" s="808"/>
      <x:c r="AF13" s="808"/>
    </x:row>
    <x:row r="14">
      <x:c r="A14" s="628"/>
      <x:c r="B14" s="628"/>
      <x:c r="C14" s="628"/>
      <x:c r="D14" s="628"/>
      <x:c r="E14" s="628"/>
      <x:c r="F14" s="628"/>
      <x:c r="G14" s="628"/>
      <x:c r="H14" s="628"/>
      <x:c r="I14" s="628"/>
      <x:c r="J14" s="628"/>
      <x:c r="K14" s="628"/>
      <x:c r="L14" s="628"/>
      <x:c r="M14" s="628"/>
      <x:c r="N14" s="628"/>
      <x:c r="X14" s="808" t="str">
        <x:v>2023A</x:v>
      </x:c>
      <x:c r="Y14" s="1005" t="n">
        <x:f>'07_Analysis_Scenarios'!B66</x:f>
      </x:c>
      <x:c r="Z14" s="1005" t="n">
        <x:f>'07_Analysis_Scenarios'!B68</x:f>
      </x:c>
      <x:c r="AA14" s="1005" t="n">
        <x:f>'07_Analysis_Scenarios'!B70</x:f>
      </x:c>
      <x:c r="AB14" s="808"/>
      <x:c r="AC14" s="808"/>
      <x:c r="AD14" s="808"/>
      <x:c r="AE14" s="808"/>
      <x:c r="AF14" s="808"/>
    </x:row>
    <x:row r="15">
      <x:c r="A15" s="652" t="str">
        <x:v>PERFORMANCE &amp; PROFITABILITY</x:v>
      </x:c>
      <x:c r="B15" s="652"/>
      <x:c r="C15" s="652"/>
      <x:c r="D15" s="652"/>
      <x:c r="E15" s="652"/>
      <x:c r="F15" s="652"/>
      <x:c r="G15" s="652"/>
      <x:c r="H15" s="652"/>
      <x:c r="I15" s="652"/>
      <x:c r="J15" s="652"/>
      <x:c r="K15" s="652"/>
      <x:c r="L15" s="652"/>
      <x:c r="M15" s="652"/>
      <x:c r="N15" s="652"/>
      <x:c r="X15" s="808" t="str">
        <x:v>2024A</x:v>
      </x:c>
      <x:c r="Y15" s="1005" t="n">
        <x:f>'07_Analysis_Scenarios'!C66</x:f>
      </x:c>
      <x:c r="Z15" s="1005" t="n">
        <x:f>'07_Analysis_Scenarios'!C68</x:f>
      </x:c>
      <x:c r="AA15" s="1005" t="n">
        <x:f>'07_Analysis_Scenarios'!C70</x:f>
      </x:c>
      <x:c r="AB15" s="808"/>
      <x:c r="AC15" s="808"/>
      <x:c r="AD15" s="808"/>
      <x:c r="AE15" s="808"/>
      <x:c r="AF15" s="808"/>
    </x:row>
    <x:row r="16">
      <x:c r="A16" s="628"/>
      <x:c r="B16" s="628"/>
      <x:c r="C16" s="628"/>
      <x:c r="D16" s="628"/>
      <x:c r="E16" s="628"/>
      <x:c r="F16" s="628"/>
      <x:c r="G16" s="628"/>
      <x:c r="H16" s="628"/>
      <x:c r="I16" s="628"/>
      <x:c r="J16" s="640"/>
      <x:c r="K16" s="628"/>
      <x:c r="L16" s="628"/>
      <x:c r="M16" s="628"/>
      <x:c r="N16" s="628"/>
      <x:c r="X16" s="808" t="str">
        <x:v>2025A</x:v>
      </x:c>
      <x:c r="Y16" s="1005" t="n">
        <x:f>'07_Analysis_Scenarios'!D66</x:f>
      </x:c>
      <x:c r="Z16" s="1005" t="n">
        <x:f>'07_Analysis_Scenarios'!D68</x:f>
      </x:c>
      <x:c r="AA16" s="1005" t="n">
        <x:f>'07_Analysis_Scenarios'!D70</x:f>
      </x:c>
      <x:c r="AB16" s="808"/>
      <x:c r="AC16" s="808"/>
      <x:c r="AD16" s="808"/>
      <x:c r="AE16" s="808"/>
      <x:c r="AF16" s="808"/>
    </x:row>
    <x:row r="17">
      <x:c r="A17" s="628"/>
      <x:c r="B17" s="628"/>
      <x:c r="C17" s="628"/>
      <x:c r="D17" s="628"/>
      <x:c r="E17" s="628"/>
      <x:c r="F17" s="628"/>
      <x:c r="G17" s="628"/>
      <x:c r="H17" s="628"/>
      <x:c r="I17" s="628"/>
      <x:c r="J17" s="640"/>
      <x:c r="K17" s="628"/>
      <x:c r="L17" s="628"/>
      <x:c r="M17" s="628"/>
      <x:c r="N17" s="628"/>
      <x:c r="X17" s="808" t="str">
        <x:v>2026E</x:v>
      </x:c>
      <x:c r="Y17" s="1005" t="n">
        <x:f>'07_Analysis_Scenarios'!E66</x:f>
      </x:c>
      <x:c r="Z17" s="1005" t="n">
        <x:f>'07_Analysis_Scenarios'!E68</x:f>
      </x:c>
      <x:c r="AA17" s="1005" t="n">
        <x:f>'07_Analysis_Scenarios'!E70</x:f>
      </x:c>
      <x:c r="AB17" s="808"/>
      <x:c r="AC17" s="808"/>
      <x:c r="AD17" s="808"/>
      <x:c r="AE17" s="808"/>
      <x:c r="AF17" s="808"/>
    </x:row>
    <x:row r="18">
      <x:c r="A18" s="628"/>
      <x:c r="B18" s="628"/>
      <x:c r="C18" s="628"/>
      <x:c r="D18" s="628"/>
      <x:c r="E18" s="628"/>
      <x:c r="F18" s="628"/>
      <x:c r="G18" s="628"/>
      <x:c r="H18" s="628"/>
      <x:c r="I18" s="628"/>
      <x:c r="J18" s="640"/>
      <x:c r="K18" s="628"/>
      <x:c r="L18" s="628"/>
      <x:c r="M18" s="628"/>
      <x:c r="N18" s="628"/>
      <x:c r="X18" s="808" t="str">
        <x:v>2027E</x:v>
      </x:c>
      <x:c r="Y18" s="1005" t="n">
        <x:f>'07_Analysis_Scenarios'!F66</x:f>
      </x:c>
      <x:c r="Z18" s="1005" t="n">
        <x:f>'07_Analysis_Scenarios'!F68</x:f>
      </x:c>
      <x:c r="AA18" s="1005" t="n">
        <x:f>'07_Analysis_Scenarios'!F70</x:f>
      </x:c>
      <x:c r="AB18" s="808"/>
      <x:c r="AC18" s="808"/>
      <x:c r="AD18" s="808"/>
      <x:c r="AE18" s="808"/>
      <x:c r="AF18" s="808"/>
    </x:row>
    <x:row r="19">
      <x:c r="A19" s="628"/>
      <x:c r="B19" s="628"/>
      <x:c r="C19" s="628"/>
      <x:c r="D19" s="628"/>
      <x:c r="E19" s="628"/>
      <x:c r="F19" s="628"/>
      <x:c r="G19" s="628"/>
      <x:c r="H19" s="628"/>
      <x:c r="I19" s="628"/>
      <x:c r="J19" s="628"/>
      <x:c r="K19" s="628"/>
      <x:c r="L19" s="628"/>
      <x:c r="M19" s="628"/>
      <x:c r="N19" s="628"/>
      <x:c r="X19" s="808" t="str">
        <x:v>2028E</x:v>
      </x:c>
      <x:c r="Y19" s="1005" t="n">
        <x:f>'07_Analysis_Scenarios'!G66</x:f>
      </x:c>
      <x:c r="Z19" s="1005" t="n">
        <x:f>'07_Analysis_Scenarios'!G68</x:f>
      </x:c>
      <x:c r="AA19" s="1005" t="n">
        <x:f>'07_Analysis_Scenarios'!G70</x:f>
      </x:c>
      <x:c r="AB19" s="808"/>
      <x:c r="AC19" s="808"/>
      <x:c r="AD19" s="808"/>
      <x:c r="AE19" s="808"/>
      <x:c r="AF19" s="808"/>
    </x:row>
    <x:row r="20">
      <x:c r="A20" s="628"/>
      <x:c r="B20" s="628"/>
      <x:c r="C20" s="628"/>
      <x:c r="D20" s="628"/>
      <x:c r="E20" s="628"/>
      <x:c r="F20" s="628"/>
      <x:c r="G20" s="628"/>
      <x:c r="H20" s="628"/>
      <x:c r="I20" s="628"/>
      <x:c r="J20" s="628"/>
      <x:c r="K20" s="628"/>
      <x:c r="L20" s="628"/>
      <x:c r="M20" s="628"/>
      <x:c r="N20" s="628"/>
      <x:c r="X20" s="808" t="str">
        <x:v>2029E</x:v>
      </x:c>
      <x:c r="Y20" s="1005" t="n">
        <x:f>'07_Analysis_Scenarios'!H66</x:f>
      </x:c>
      <x:c r="Z20" s="1005" t="n">
        <x:f>'07_Analysis_Scenarios'!H68</x:f>
      </x:c>
      <x:c r="AA20" s="1005" t="n">
        <x:f>'07_Analysis_Scenarios'!H70</x:f>
      </x:c>
      <x:c r="AB20" s="808"/>
      <x:c r="AC20" s="808"/>
      <x:c r="AD20" s="808"/>
      <x:c r="AE20" s="808"/>
      <x:c r="AF20" s="808"/>
    </x:row>
    <x:row r="21">
      <x:c r="A21" s="628"/>
      <x:c r="B21" s="628"/>
      <x:c r="C21" s="628"/>
      <x:c r="D21" s="628"/>
      <x:c r="E21" s="628"/>
      <x:c r="F21" s="628"/>
      <x:c r="G21" s="628"/>
      <x:c r="H21" s="628"/>
      <x:c r="I21" s="628"/>
      <x:c r="J21" s="628"/>
      <x:c r="K21" s="628"/>
      <x:c r="L21" s="628"/>
      <x:c r="M21" s="628"/>
      <x:c r="N21" s="628"/>
      <x:c r="X21" s="808" t="str">
        <x:v>2030E</x:v>
      </x:c>
      <x:c r="Y21" s="1005" t="n">
        <x:f>'07_Analysis_Scenarios'!I66</x:f>
      </x:c>
      <x:c r="Z21" s="1005" t="n">
        <x:f>'07_Analysis_Scenarios'!I68</x:f>
      </x:c>
      <x:c r="AA21" s="1005" t="n">
        <x:f>'07_Analysis_Scenarios'!I70</x:f>
      </x:c>
      <x:c r="AB21" s="808"/>
      <x:c r="AC21" s="808"/>
      <x:c r="AD21" s="808"/>
      <x:c r="AE21" s="808"/>
      <x:c r="AF21" s="808"/>
    </x:row>
    <x:row r="22">
      <x:c r="A22" s="628"/>
      <x:c r="B22" s="628"/>
      <x:c r="C22" s="628"/>
      <x:c r="D22" s="628"/>
      <x:c r="E22" s="628"/>
      <x:c r="F22" s="628"/>
      <x:c r="G22" s="628"/>
      <x:c r="H22" s="628"/>
      <x:c r="I22" s="628"/>
      <x:c r="J22" s="628"/>
      <x:c r="K22" s="628"/>
      <x:c r="L22" s="628"/>
      <x:c r="M22" s="628"/>
      <x:c r="N22" s="628"/>
      <x:c r="X22" s="808"/>
      <x:c r="Y22" s="808"/>
      <x:c r="Z22" s="808"/>
      <x:c r="AA22" s="808"/>
      <x:c r="AB22" s="808"/>
      <x:c r="AC22" s="808"/>
      <x:c r="AD22" s="808"/>
      <x:c r="AE22" s="808"/>
      <x:c r="AF22" s="808"/>
    </x:row>
    <x:row r="23">
      <x:c r="A23" s="628"/>
      <x:c r="B23" s="628"/>
      <x:c r="C23" s="628"/>
      <x:c r="D23" s="628"/>
      <x:c r="E23" s="628"/>
      <x:c r="F23" s="628"/>
      <x:c r="G23" s="628"/>
      <x:c r="H23" s="628"/>
      <x:c r="I23" s="628"/>
      <x:c r="J23" s="628"/>
      <x:c r="K23" s="628"/>
      <x:c r="L23" s="628"/>
      <x:c r="M23" s="628"/>
      <x:c r="N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>
      <x:c r="A24" s="628"/>
      <x:c r="B24" s="628"/>
      <x:c r="C24" s="628"/>
      <x:c r="D24" s="628"/>
      <x:c r="E24" s="628"/>
      <x:c r="F24" s="628"/>
      <x:c r="G24" s="628"/>
      <x:c r="H24" s="628"/>
      <x:c r="I24" s="628"/>
      <x:c r="J24" s="628"/>
      <x:c r="K24" s="628"/>
      <x:c r="L24" s="628"/>
      <x:c r="M24" s="628"/>
      <x:c r="N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>
      <x:c r="A25" s="628"/>
      <x:c r="B25" s="628"/>
      <x:c r="C25" s="628"/>
      <x:c r="D25" s="628"/>
      <x:c r="E25" s="628"/>
      <x:c r="F25" s="628"/>
      <x:c r="G25" s="628"/>
      <x:c r="H25" s="628"/>
      <x:c r="I25" s="628"/>
      <x:c r="J25" s="628"/>
      <x:c r="K25" s="628"/>
      <x:c r="L25" s="628"/>
      <x:c r="M25" s="628"/>
      <x:c r="N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>
      <x:c r="A26" s="628"/>
      <x:c r="B26" s="628"/>
      <x:c r="C26" s="628"/>
      <x:c r="D26" s="628"/>
      <x:c r="E26" s="628"/>
      <x:c r="F26" s="628"/>
      <x:c r="G26" s="628"/>
      <x:c r="H26" s="628"/>
      <x:c r="I26" s="628"/>
      <x:c r="J26" s="628"/>
      <x:c r="K26" s="628"/>
      <x:c r="L26" s="628"/>
      <x:c r="M26" s="628"/>
      <x:c r="N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>
      <x:c r="A27" s="628"/>
      <x:c r="B27" s="628"/>
      <x:c r="C27" s="628"/>
      <x:c r="D27" s="628"/>
      <x:c r="E27" s="628"/>
      <x:c r="F27" s="628"/>
      <x:c r="G27" s="628"/>
      <x:c r="H27" s="628"/>
      <x:c r="I27" s="628"/>
      <x:c r="J27" s="628"/>
      <x:c r="K27" s="628"/>
      <x:c r="L27" s="628"/>
      <x:c r="M27" s="628"/>
      <x:c r="N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>
      <x:c r="A28" s="628"/>
      <x:c r="B28" s="628"/>
      <x:c r="C28" s="628"/>
      <x:c r="D28" s="628"/>
      <x:c r="E28" s="628"/>
      <x:c r="F28" s="628"/>
      <x:c r="G28" s="628"/>
      <x:c r="H28" s="628"/>
      <x:c r="I28" s="628"/>
      <x:c r="J28" s="628"/>
      <x:c r="K28" s="628"/>
      <x:c r="L28" s="628"/>
      <x:c r="M28" s="628"/>
      <x:c r="N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>
      <x:c r="A29" s="628"/>
      <x:c r="B29" s="628"/>
      <x:c r="C29" s="628"/>
      <x:c r="D29" s="628"/>
      <x:c r="E29" s="628"/>
      <x:c r="F29" s="628"/>
      <x:c r="G29" s="628"/>
      <x:c r="H29" s="628"/>
      <x:c r="I29" s="628"/>
      <x:c r="J29" s="628"/>
      <x:c r="K29" s="628"/>
      <x:c r="L29" s="628"/>
      <x:c r="M29" s="628"/>
      <x:c r="N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628"/>
      <x:c r="B30" s="628"/>
      <x:c r="C30" s="628"/>
      <x:c r="D30" s="628"/>
      <x:c r="E30" s="628"/>
      <x:c r="F30" s="628"/>
      <x:c r="G30" s="628"/>
      <x:c r="H30" s="628"/>
      <x:c r="I30" s="628"/>
      <x:c r="J30" s="628"/>
      <x:c r="K30" s="628"/>
      <x:c r="L30" s="628"/>
      <x:c r="M30" s="628"/>
      <x:c r="N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628"/>
      <x:c r="B31" s="628"/>
      <x:c r="C31" s="628"/>
      <x:c r="D31" s="628"/>
      <x:c r="E31" s="628"/>
      <x:c r="F31" s="628"/>
      <x:c r="G31" s="628"/>
      <x:c r="H31" s="628"/>
      <x:c r="I31" s="628"/>
      <x:c r="J31" s="628"/>
      <x:c r="K31" s="628"/>
      <x:c r="L31" s="628"/>
      <x:c r="M31" s="628"/>
      <x:c r="N31" s="628"/>
    </x:row>
    <x:row r="32">
      <x:c r="A32" s="628"/>
      <x:c r="B32" s="628"/>
      <x:c r="C32" s="628"/>
      <x:c r="D32" s="628"/>
      <x:c r="E32" s="628"/>
      <x:c r="F32" s="628"/>
      <x:c r="G32" s="628"/>
      <x:c r="H32" s="628"/>
      <x:c r="I32" s="628"/>
      <x:c r="J32" s="628"/>
      <x:c r="K32" s="628"/>
      <x:c r="L32" s="628"/>
      <x:c r="M32" s="628"/>
      <x:c r="N32" s="628"/>
    </x:row>
    <x:row r="33">
      <x:c r="A33" s="628"/>
      <x:c r="B33" s="628"/>
      <x:c r="C33" s="628"/>
      <x:c r="D33" s="628"/>
      <x:c r="E33" s="628"/>
      <x:c r="F33" s="628"/>
      <x:c r="G33" s="628"/>
      <x:c r="H33" s="628"/>
      <x:c r="I33" s="628"/>
      <x:c r="J33" s="628"/>
      <x:c r="K33" s="628"/>
      <x:c r="L33" s="628"/>
      <x:c r="M33" s="628"/>
      <x:c r="N33" s="628"/>
    </x:row>
    <x:row r="34">
      <x:c r="A34" s="652" t="str">
        <x:v>VALUATION SUMMARY</x:v>
      </x:c>
      <x:c r="B34" s="652"/>
      <x:c r="C34" s="652"/>
      <x:c r="D34" s="652"/>
      <x:c r="E34" s="652"/>
      <x:c r="F34" s="652"/>
      <x:c r="G34" s="628"/>
      <x:c r="H34" s="652" t="str">
        <x:v>SCENARIO &amp; RISK</x:v>
      </x:c>
      <x:c r="I34" s="652"/>
      <x:c r="J34" s="652"/>
      <x:c r="K34" s="652"/>
      <x:c r="L34" s="652"/>
      <x:c r="M34" s="652"/>
      <x:c r="N34" s="652"/>
    </x:row>
    <x:row r="35">
      <x:c r="A35" s="628"/>
      <x:c r="B35" s="628"/>
      <x:c r="C35" s="628"/>
      <x:c r="D35" s="628"/>
      <x:c r="E35" s="628"/>
      <x:c r="F35" s="628"/>
      <x:c r="G35" s="628"/>
      <x:c r="H35" s="628"/>
      <x:c r="I35" s="628"/>
      <x:c r="J35" s="628"/>
      <x:c r="K35" s="628"/>
      <x:c r="L35" s="628"/>
      <x:c r="M35" s="628"/>
      <x:c r="N35" s="628"/>
    </x:row>
    <x:row r="36" ht="28" customHeight="1">
      <x:c r="A36" s="1000" t="str">
        <x:v>Method</x:v>
      </x:c>
      <x:c r="B36" s="1000" t="str">
        <x:v>Implied Price</x:v>
      </x:c>
      <x:c r="C36" s="1000" t="str">
        <x:v>Premium / (Discount)</x:v>
      </x:c>
      <x:c r="D36" s="1000" t="str">
        <x:v>Low</x:v>
      </x:c>
      <x:c r="E36" s="1000" t="str">
        <x:v>Mid</x:v>
      </x:c>
      <x:c r="F36" s="1000" t="str">
        <x:v>High</x:v>
      </x:c>
      <x:c r="G36" s="628"/>
      <x:c r="H36" s="781" t="str">
        <x:v>Metric</x:v>
      </x:c>
      <x:c r="I36" s="781" t="str">
        <x:v>Bear</x:v>
      </x:c>
      <x:c r="J36" s="781" t="str">
        <x:v>Base</x:v>
      </x:c>
      <x:c r="K36" s="781" t="str">
        <x:v>Bull</x:v>
      </x:c>
      <x:c r="L36" s="781" t="str">
        <x:v>Active</x:v>
      </x:c>
      <x:c r="M36" s="1000" t="str">
        <x:v>Management Readout</x:v>
      </x:c>
      <x:c r="N36" s="1000"/>
    </x:row>
    <x:row r="37" ht="20" customHeight="1">
      <x:c r="A37" s="678" t="str">
        <x:v>DCF Perpetuity</x:v>
      </x:c>
      <x:c r="B37" s="1016" t="n">
        <x:f>'04_DCF_Valuation'!H48</x:f>
      </x:c>
      <x:c r="C37" s="1017" t="n">
        <x:f>B37/$B$41-1</x:f>
      </x:c>
      <x:c r="D37" s="1016" t="n">
        <x:f>'06_Comparable_Valuation'!B69</x:f>
      </x:c>
      <x:c r="E37" s="1016" t="n">
        <x:f>'06_Comparable_Valuation'!C69</x:f>
      </x:c>
      <x:c r="F37" s="1016" t="n">
        <x:f>'06_Comparable_Valuation'!D69</x:f>
      </x:c>
      <x:c r="G37" s="628"/>
      <x:c r="H37" s="678" t="str">
        <x:v>Revenue</x:v>
      </x:c>
      <x:c r="I37" s="1018" t="n">
        <x:f>IF($B$8="Bear",'03_3_Statement_Model'!I8,'05_Sensitivity'!B19)</x:f>
      </x:c>
      <x:c r="J37" s="1018" t="n">
        <x:f>IF($B$8="Base",'03_3_Statement_Model'!I8,'05_Sensitivity'!C19)</x:f>
      </x:c>
      <x:c r="K37" s="1018" t="n">
        <x:f>IF($B$8="Bull",'03_3_Statement_Model'!I8,'05_Sensitivity'!D19)</x:f>
      </x:c>
      <x:c r="L37" s="1018" t="n">
        <x:f>INDEX(I37:K37,1,MATCH($B$8,$I$36:$K$36,0))</x:f>
      </x:c>
      <x:c r="M37" s="1001" t="str">
        <x:v>Growth range</x:v>
      </x:c>
      <x:c r="N37" s="1001"/>
    </x:row>
    <x:row r="38" ht="20" customHeight="1">
      <x:c r="A38" s="678" t="str">
        <x:v>DCF Exit Multiple</x:v>
      </x:c>
      <x:c r="B38" s="1016" t="n">
        <x:f>'04_DCF_Valuation'!H49</x:f>
      </x:c>
      <x:c r="C38" s="1017" t="n">
        <x:f>B38/$B$41-1</x:f>
      </x:c>
      <x:c r="D38" s="1016" t="n">
        <x:f>'06_Comparable_Valuation'!B70</x:f>
      </x:c>
      <x:c r="E38" s="1016" t="n">
        <x:f>'06_Comparable_Valuation'!C70</x:f>
      </x:c>
      <x:c r="F38" s="1016" t="n">
        <x:f>'06_Comparable_Valuation'!D70</x:f>
      </x:c>
      <x:c r="G38" s="628"/>
      <x:c r="H38" s="678" t="str">
        <x:v>EBITDA</x:v>
      </x:c>
      <x:c r="I38" s="1018" t="n">
        <x:f>IF($B$8="Bear",'03_3_Statement_Model'!I15,'05_Sensitivity'!B20)</x:f>
      </x:c>
      <x:c r="J38" s="1018" t="n">
        <x:f>IF($B$8="Base",'03_3_Statement_Model'!I15,'05_Sensitivity'!C20)</x:f>
      </x:c>
      <x:c r="K38" s="1018" t="n">
        <x:f>IF($B$8="Bull",'03_3_Statement_Model'!I15,'05_Sensitivity'!D20)</x:f>
      </x:c>
      <x:c r="L38" s="1018" t="n">
        <x:f>INDEX(I38:K38,1,MATCH($B$8,$I$36:$K$36,0))</x:f>
      </x:c>
      <x:c r="M38" s="1001" t="str">
        <x:v>Profitability range</x:v>
      </x:c>
      <x:c r="N38" s="1001"/>
    </x:row>
    <x:row r="39" ht="20" customHeight="1">
      <x:c r="A39" s="678" t="str">
        <x:v>Trading Comparables</x:v>
      </x:c>
      <x:c r="B39" s="1019" t="n">
        <x:f>'06_Comparable_Valuation'!H27</x:f>
      </x:c>
      <x:c r="C39" s="1020" t="n">
        <x:f>B39/$B$41-1</x:f>
      </x:c>
      <x:c r="D39" s="1019" t="n">
        <x:f>'06_Comparable_Valuation'!B67</x:f>
      </x:c>
      <x:c r="E39" s="1019" t="n">
        <x:f>'06_Comparable_Valuation'!C67</x:f>
      </x:c>
      <x:c r="F39" s="1019" t="n">
        <x:f>'06_Comparable_Valuation'!D67</x:f>
      </x:c>
      <x:c r="G39" s="628"/>
      <x:c r="H39" s="678" t="str">
        <x:v>UFCF</x:v>
      </x:c>
      <x:c r="I39" s="1018" t="n">
        <x:f>IF($B$8="Bear",'04_DCF_Valuation'!F11,'05_Sensitivity'!B20*70%)</x:f>
      </x:c>
      <x:c r="J39" s="1018" t="n">
        <x:f>IF($B$8="Base",'04_DCF_Valuation'!F11,'05_Sensitivity'!C20*70%)</x:f>
      </x:c>
      <x:c r="K39" s="1018" t="n">
        <x:f>IF($B$8="Bull",'04_DCF_Valuation'!F11,'05_Sensitivity'!D20*70%)</x:f>
      </x:c>
      <x:c r="L39" s="1018" t="n">
        <x:f>INDEX(I39:K39,1,MATCH($B$8,$I$36:$K$36,0))</x:f>
      </x:c>
      <x:c r="M39" s="1001" t="str">
        <x:v>Cash generation</x:v>
      </x:c>
      <x:c r="N39" s="1001"/>
    </x:row>
    <x:row r="40" ht="20" customHeight="1">
      <x:c r="A40" s="678" t="str">
        <x:v>Precedent Transactions</x:v>
      </x:c>
      <x:c r="B40" s="1019" t="n">
        <x:f>'06_Comparable_Valuation'!H60</x:f>
      </x:c>
      <x:c r="C40" s="1020" t="n">
        <x:f>B40/$B$41-1</x:f>
      </x:c>
      <x:c r="D40" s="1019" t="n">
        <x:f>'06_Comparable_Valuation'!B68</x:f>
      </x:c>
      <x:c r="E40" s="1019" t="n">
        <x:f>'06_Comparable_Valuation'!C68</x:f>
      </x:c>
      <x:c r="F40" s="1019" t="n">
        <x:f>'06_Comparable_Valuation'!D68</x:f>
      </x:c>
      <x:c r="G40" s="628"/>
      <x:c r="H40" s="678" t="str">
        <x:v>Implied Price</x:v>
      </x:c>
      <x:c r="I40" s="1019" t="n">
        <x:f>IF($B$8="Bear",'04_DCF_Valuation'!B54,'05_Sensitivity'!B22)</x:f>
      </x:c>
      <x:c r="J40" s="1019" t="n">
        <x:f>IF($B$8="Base",'04_DCF_Valuation'!B54,'05_Sensitivity'!C22)</x:f>
      </x:c>
      <x:c r="K40" s="1019" t="n">
        <x:f>IF($B$8="Bull",'04_DCF_Valuation'!B54,'05_Sensitivity'!D22)</x:f>
      </x:c>
      <x:c r="L40" s="1019" t="n">
        <x:f>INDEX(I40:K40,1,MATCH($B$8,$I$36:$K$36,0))</x:f>
      </x:c>
      <x:c r="M40" s="1001" t="str">
        <x:v>Valuation range</x:v>
      </x:c>
      <x:c r="N40" s="1001"/>
    </x:row>
    <x:row r="41" ht="20" customHeight="1">
      <x:c r="A41" s="678" t="str">
        <x:v>Current Price</x:v>
      </x:c>
      <x:c r="B41" s="1021" t="n">
        <x:f>B10</x:f>
      </x:c>
      <x:c r="C41" s="1020" t="n">
        <x:f>B41/$B$41-1</x:f>
      </x:c>
      <x:c r="D41" s="1019" t="n">
        <x:f>'06_Comparable_Valuation'!B71</x:f>
      </x:c>
      <x:c r="E41" s="1019" t="n">
        <x:f>'06_Comparable_Valuation'!C71</x:f>
      </x:c>
      <x:c r="F41" s="1019" t="n">
        <x:f>'06_Comparable_Valuation'!D71</x:f>
      </x:c>
      <x:c r="G41" s="628"/>
      <x:c r="H41" s="681" t="str">
        <x:v>Premium/(Discount)</x:v>
      </x:c>
      <x:c r="I41" s="1022" t="n">
        <x:f>I40/$B$10-1</x:f>
      </x:c>
      <x:c r="J41" s="1022" t="n">
        <x:f>J40/$B$10-1</x:f>
      </x:c>
      <x:c r="K41" s="1022" t="n">
        <x:f>K40/$B$10-1</x:f>
      </x:c>
      <x:c r="L41" s="1022" t="n">
        <x:f>L40/$B$10-1</x:f>
      </x:c>
      <x:c r="M41" s="1002" t="str">
        <x:v>Upside/downside</x:v>
      </x:c>
      <x:c r="N41" s="1002"/>
    </x:row>
    <x:row r="42" ht="20" customHeight="1">
      <x:c r="A42" s="795" t="str">
        <x:v>Selected Valuation</x:v>
      </x:c>
      <x:c r="B42" s="1023" t="n">
        <x:f>'04_DCF_Valuation'!B54</x:f>
      </x:c>
      <x:c r="C42" s="1024" t="n">
        <x:f>B42/$B$41-1</x:f>
      </x:c>
      <x:c r="D42" s="1025" t="n">
        <x:f>B42</x:f>
      </x:c>
      <x:c r="E42" s="1025" t="n">
        <x:f>B42</x:f>
      </x:c>
      <x:c r="F42" s="1025" t="n">
        <x:f>B42</x:f>
      </x:c>
      <x:c r="G42" s="628"/>
      <x:c r="H42" s="628"/>
      <x:c r="I42" s="628"/>
      <x:c r="J42" s="628"/>
      <x:c r="K42" s="628"/>
      <x:c r="L42" s="628"/>
      <x:c r="M42" s="628"/>
      <x:c r="N42" s="628"/>
    </x:row>
    <x:row r="43">
      <x:c r="A43" s="628"/>
      <x:c r="B43" s="628"/>
      <x:c r="C43" s="628"/>
      <x:c r="D43" s="628"/>
      <x:c r="E43" s="628"/>
      <x:c r="F43" s="628"/>
      <x:c r="G43" s="628"/>
      <x:c r="H43" s="628"/>
      <x:c r="I43" s="628"/>
      <x:c r="J43" s="628"/>
      <x:c r="K43" s="628"/>
      <x:c r="L43" s="628"/>
      <x:c r="M43" s="628"/>
      <x:c r="N43" s="628"/>
    </x:row>
    <x:row r="44">
      <x:c r="A44" s="628"/>
      <x:c r="B44" s="628"/>
      <x:c r="C44" s="628"/>
      <x:c r="D44" s="628"/>
      <x:c r="E44" s="628"/>
      <x:c r="F44" s="628"/>
      <x:c r="G44" s="628"/>
      <x:c r="H44" s="628"/>
      <x:c r="I44" s="628"/>
      <x:c r="J44" s="628"/>
      <x:c r="K44" s="628"/>
      <x:c r="L44" s="628"/>
      <x:c r="M44" s="628"/>
      <x:c r="N44" s="628"/>
    </x:row>
    <x:row r="45">
      <x:c r="A45" s="628"/>
      <x:c r="B45" s="628"/>
      <x:c r="C45" s="628"/>
      <x:c r="D45" s="628"/>
      <x:c r="E45" s="628"/>
      <x:c r="F45" s="628"/>
      <x:c r="G45" s="628"/>
      <x:c r="H45" s="628"/>
      <x:c r="I45" s="628"/>
      <x:c r="J45" s="628"/>
      <x:c r="K45" s="628"/>
      <x:c r="L45" s="628"/>
      <x:c r="M45" s="628"/>
      <x:c r="N45" s="628"/>
    </x:row>
    <x:row r="46">
      <x:c r="A46" s="628"/>
      <x:c r="B46" s="628"/>
      <x:c r="C46" s="628"/>
      <x:c r="D46" s="628"/>
      <x:c r="E46" s="628"/>
      <x:c r="F46" s="628"/>
      <x:c r="G46" s="628"/>
      <x:c r="H46" s="628"/>
      <x:c r="I46" s="628"/>
      <x:c r="J46" s="628"/>
      <x:c r="K46" s="628"/>
      <x:c r="L46" s="628"/>
      <x:c r="M46" s="628"/>
      <x:c r="N46" s="628"/>
    </x:row>
    <x:row r="47">
      <x:c r="A47" s="628"/>
      <x:c r="B47" s="628"/>
      <x:c r="C47" s="628"/>
      <x:c r="D47" s="628"/>
      <x:c r="E47" s="628"/>
      <x:c r="F47" s="628"/>
      <x:c r="G47" s="628"/>
      <x:c r="H47" s="628"/>
      <x:c r="I47" s="628"/>
      <x:c r="J47" s="628"/>
      <x:c r="K47" s="628"/>
      <x:c r="L47" s="628"/>
      <x:c r="M47" s="628"/>
      <x:c r="N47" s="628"/>
    </x:row>
    <x:row r="48">
      <x:c r="A48" s="652" t="str">
        <x:v>MANAGEMENT RISK INDICATORS</x:v>
      </x:c>
      <x:c r="B48" s="652"/>
      <x:c r="C48" s="652"/>
      <x:c r="D48" s="652"/>
      <x:c r="E48" s="652"/>
      <x:c r="F48" s="652"/>
      <x:c r="G48" s="628"/>
      <x:c r="H48" s="652" t="str">
        <x:v>MODEL HEALTH</x:v>
      </x:c>
      <x:c r="I48" s="652"/>
      <x:c r="J48" s="652"/>
      <x:c r="K48" s="652"/>
      <x:c r="L48" s="652"/>
      <x:c r="M48" s="652"/>
      <x:c r="N48" s="652"/>
    </x:row>
    <x:row r="49">
      <x:c r="A49" s="628"/>
      <x:c r="B49" s="628"/>
      <x:c r="C49" s="628"/>
      <x:c r="D49" s="628"/>
      <x:c r="E49" s="628"/>
      <x:c r="F49" s="628"/>
      <x:c r="G49" s="628"/>
      <x:c r="H49" s="628"/>
      <x:c r="I49" s="628"/>
      <x:c r="J49" s="628"/>
      <x:c r="K49" s="628"/>
      <x:c r="L49" s="628"/>
      <x:c r="M49" s="628"/>
      <x:c r="N49" s="628"/>
    </x:row>
    <x:row r="50" ht="26" customHeight="1">
      <x:c r="A50" s="1000" t="str">
        <x:v>Indicator</x:v>
      </x:c>
      <x:c r="B50" s="1000" t="str">
        <x:v>Current / Forecast</x:v>
      </x:c>
      <x:c r="C50" s="1000" t="str">
        <x:v>Reference</x:v>
      </x:c>
      <x:c r="D50" s="1000" t="str">
        <x:v>Status</x:v>
      </x:c>
      <x:c r="E50" s="1000" t="str">
        <x:v>Why management cares</x:v>
      </x:c>
      <x:c r="F50" s="1000"/>
      <x:c r="G50" s="628"/>
      <x:c r="H50" s="781" t="str">
        <x:v>Model Area</x:v>
      </x:c>
      <x:c r="I50" s="781" t="str">
        <x:v>Status</x:v>
      </x:c>
      <x:c r="J50" s="781"/>
      <x:c r="K50" s="781"/>
      <x:c r="L50" s="628"/>
      <x:c r="M50" s="628"/>
      <x:c r="N50" s="628"/>
    </x:row>
    <x:row r="51">
      <x:c r="A51" s="678" t="str">
        <x:v>Liquidity</x:v>
      </x:c>
      <x:c r="B51" s="678" t="str">
        <x:v>2030 Current Ratio</x:v>
      </x:c>
      <x:c r="C51" s="1026" t="n">
        <x:f>'07_Analysis_Scenarios'!I82</x:f>
      </x:c>
      <x:c r="D51" s="678" t="str">
        <x:f>IF(C51&gt;=1.2,"OK",IF(C51&gt;=1,"WATCH","RISK"))</x:f>
      </x:c>
      <x:c r="E51" s="678" t="str">
        <x:v>Ability to meet short-term obligations</x:v>
      </x:c>
      <x:c r="F51" s="678"/>
      <x:c r="G51" s="628"/>
      <x:c r="H51" s="678" t="str">
        <x:v>3-Statement</x:v>
      </x:c>
      <x:c r="I51" s="678" t="str">
        <x:f>IF(COUNTIF('03_3_Statement_Model'!E79:I79,"CHECK")=0,"OK","CHECK")</x:f>
      </x:c>
      <x:c r="J51" s="678"/>
      <x:c r="K51" s="678"/>
      <x:c r="L51" s="628"/>
      <x:c r="M51" s="628"/>
      <x:c r="N51" s="628"/>
    </x:row>
    <x:row r="52">
      <x:c r="A52" s="678" t="str">
        <x:v>Leverage</x:v>
      </x:c>
      <x:c r="B52" s="678" t="str">
        <x:v>2030 Debt / EBITDA</x:v>
      </x:c>
      <x:c r="C52" s="1026" t="n">
        <x:f>'07_Analysis_Scenarios'!I80</x:f>
      </x:c>
      <x:c r="D52" s="678" t="str">
        <x:f>IF(C52&lt;=2,"OK",IF(C52&lt;=3,"WATCH","RISK"))</x:f>
      </x:c>
      <x:c r="E52" s="678" t="str">
        <x:v>Balance-sheet risk and financing capacity</x:v>
      </x:c>
      <x:c r="F52" s="678"/>
      <x:c r="G52" s="628"/>
      <x:c r="H52" s="678" t="str">
        <x:v>Operating</x:v>
      </x:c>
      <x:c r="I52" s="678" t="str">
        <x:f>IF(OR(COUNTIF('02_Operating_Model'!E33:I33,"CHECK")&gt;0,COUNTIF('02_Operating_Model'!E79:I79,"CHECK")&gt;0,COUNTIF('02_Operating_Model'!E106:I106,"CHECK")&gt;0,COUNTIF('02_Operating_Model'!E146:I146,"CHECK")&gt;0,COUNTIF('02_Operating_Model'!E170:I170,"CHECK")&gt;0,COUNTIF('02_Operating_Model'!E184:I184,"CHECK")&gt;0,COUNTIF('02_Operating_Model'!E218:I218,"CHECK")&gt;0,COUNTIF('02_Operating_Model'!E227:I227,"CHECK")&gt;0,COUNTIF('02_Operating_Model'!E245:I245,"CHECK")&gt;0),"CHECK","OK")</x:f>
      </x:c>
      <x:c r="J52" s="678"/>
      <x:c r="K52" s="678"/>
      <x:c r="L52" s="628"/>
      <x:c r="M52" s="628"/>
      <x:c r="N52" s="628"/>
    </x:row>
    <x:row r="53">
      <x:c r="A53" s="678" t="str">
        <x:v>Cash Conversion</x:v>
      </x:c>
      <x:c r="B53" s="678" t="str">
        <x:v>2030 CCC (days)</x:v>
      </x:c>
      <x:c r="C53" s="1027" t="n">
        <x:f>'07_Analysis_Scenarios'!I77</x:f>
      </x:c>
      <x:c r="D53" s="678" t="str">
        <x:f>IF(C53&lt;=45,"OK",IF(C53&lt;=75,"WATCH","RISK"))</x:f>
      </x:c>
      <x:c r="E53" s="678" t="str">
        <x:v>Working-capital efficiency</x:v>
      </x:c>
      <x:c r="F53" s="678"/>
      <x:c r="G53" s="628"/>
      <x:c r="H53" s="678" t="str">
        <x:v>DCF</x:v>
      </x:c>
      <x:c r="I53" s="678" t="str">
        <x:f>IF(OR(COUNTIF('04_DCF_Valuation'!B40:B42,"CHECK")&gt;0,COUNTIF('04_DCF_Valuation'!B61:B65,"CHECK")&gt;0,COUNTIF('04_DCF_Valuation'!B87:B89,"CHECK")&gt;0),"CHECK","OK")</x:f>
      </x:c>
      <x:c r="J53" s="678"/>
      <x:c r="K53" s="678"/>
      <x:c r="L53" s="628"/>
      <x:c r="M53" s="628"/>
      <x:c r="N53" s="628"/>
    </x:row>
    <x:row r="54">
      <x:c r="A54" s="678" t="str">
        <x:v>Interest Cover</x:v>
      </x:c>
      <x:c r="B54" s="678" t="str">
        <x:v>2030 EBIT / Interest</x:v>
      </x:c>
      <x:c r="C54" s="1026" t="n">
        <x:f>'07_Analysis_Scenarios'!I81</x:f>
      </x:c>
      <x:c r="D54" s="678" t="str">
        <x:f>IF(C54&gt;=4,"OK",IF(C54&gt;=2,"WATCH","RISK"))</x:f>
      </x:c>
      <x:c r="E54" s="678" t="str">
        <x:v>Debt-service capacity</x:v>
      </x:c>
      <x:c r="F54" s="678"/>
      <x:c r="G54" s="628"/>
      <x:c r="H54" s="678" t="str">
        <x:v>Sensitivity</x:v>
      </x:c>
      <x:c r="I54" s="678" t="str">
        <x:f>IF(COUNTIF('05_Sensitivity'!B51:B53,"CHECK")=0,"OK","CHECK")</x:f>
      </x:c>
      <x:c r="J54" s="678"/>
      <x:c r="K54" s="678"/>
      <x:c r="L54" s="628"/>
      <x:c r="M54" s="628"/>
      <x:c r="N54" s="628"/>
    </x:row>
    <x:row r="55">
      <x:c r="A55" s="678" t="str">
        <x:v>Valuation</x:v>
      </x:c>
      <x:c r="B55" s="678" t="str">
        <x:v>Selected vs Current Price</x:v>
      </x:c>
      <x:c r="C55" s="1028" t="n">
        <x:f>'04_DCF_Valuation'!B54/B10-1</x:f>
      </x:c>
      <x:c r="D55" s="678" t="str">
        <x:f>IF(C55&gt;=0,"UPSIDE","DOWNSIDE")</x:f>
      </x:c>
      <x:c r="E55" s="678" t="str">
        <x:v>Market value gap</x:v>
      </x:c>
      <x:c r="F55" s="678"/>
      <x:c r="G55" s="628"/>
      <x:c r="H55" s="678" t="str">
        <x:v>Comparable</x:v>
      </x:c>
      <x:c r="I55" s="678" t="str">
        <x:f>IF(OR(COUNTIF('06_Comparable_Valuation'!B32:B34,"CHECK")&gt;0,COUNTIF('06_Comparable_Valuation'!B76:B79,"CHECK")&gt;0),"CHECK","OK")</x:f>
      </x:c>
      <x:c r="J55" s="678"/>
      <x:c r="K55" s="678"/>
      <x:c r="L55" s="628"/>
      <x:c r="M55" s="628"/>
      <x:c r="N55" s="628"/>
    </x:row>
    <x:row r="56">
      <x:c r="A56" s="681" t="str">
        <x:v>Scenario Risk</x:v>
      </x:c>
      <x:c r="B56" s="681" t="str">
        <x:v>Bear vs Base Price</x:v>
      </x:c>
      <x:c r="C56" s="1029" t="n">
        <x:f>'05_Sensitivity'!B22/'05_Sensitivity'!C22-1</x:f>
      </x:c>
      <x:c r="D56" s="681" t="str">
        <x:f>IF(C56&gt;=-20%,"MANAGEABLE","HIGH")</x:f>
      </x:c>
      <x:c r="E56" s="681" t="str">
        <x:v>Downside sensitivity</x:v>
      </x:c>
      <x:c r="F56" s="681"/>
      <x:c r="G56" s="628"/>
      <x:c r="H56" s="678" t="str">
        <x:v>Analysis</x:v>
      </x:c>
      <x:c r="I56" s="678" t="str">
        <x:f>IF(OR(COUNTIF('07_Analysis_Scenarios'!B55:B58,"CHECK")&gt;0,COUNTIF('07_Analysis_Scenarios'!B128:B130,"CHECK")&gt;0),"CHECK","OK")</x:f>
      </x:c>
      <x:c r="J56" s="678"/>
      <x:c r="K56" s="678"/>
      <x:c r="L56" s="628"/>
      <x:c r="M56" s="628"/>
      <x:c r="N56" s="628"/>
    </x:row>
    <x:row r="57">
      <x:c r="A57" s="681" t="str">
        <x:v>Capacity</x:v>
      </x:c>
      <x:c r="B57" s="681" t="str">
        <x:v>2030 Utilisation on Demand</x:v>
      </x:c>
      <x:c r="C57" s="791" t="str">
        <x:f>IF('01_Inputs_Historicals'!$C$98="Growth-Margin","n/a",'02_Operating_Model'!I237)</x:f>
      </x:c>
      <x:c r="D57" s="681" t="str">
        <x:f>IF('01_Inputs_Historicals'!$C$98="Growth-Margin","N/A",IF(C57&lt;=0.9,"OK",IF(C57&lt;1,"WATCH","RISK")))</x:f>
      </x:c>
      <x:c r="E57" s="681" t="str">
        <x:v>Physical headroom &amp; expansion capex need</x:v>
      </x:c>
      <x:c r="F57" s="681"/>
      <x:c r="G57" s="628"/>
      <x:c r="H57" s="681" t="str">
        <x:v>Overall</x:v>
      </x:c>
      <x:c r="I57" s="681" t="str">
        <x:f>IF(COUNTIF(I51:I56,"CHECK")=0,"OK","CHECK")</x:f>
      </x:c>
      <x:c r="J57" s="681"/>
      <x:c r="K57" s="681"/>
      <x:c r="L57" s="628"/>
      <x:c r="M57" s="628"/>
      <x:c r="N57" s="628"/>
    </x:row>
    <x:row r="58">
      <x:c r="A58" s="628"/>
      <x:c r="B58" s="628"/>
      <x:c r="C58" s="628"/>
      <x:c r="D58" s="628"/>
      <x:c r="E58" s="628"/>
      <x:c r="F58" s="628"/>
      <x:c r="G58" s="628"/>
      <x:c r="H58" s="628"/>
      <x:c r="I58" s="628"/>
      <x:c r="J58" s="628"/>
      <x:c r="K58" s="628"/>
      <x:c r="L58" s="628"/>
      <x:c r="M58" s="628"/>
      <x:c r="N58" s="628"/>
    </x:row>
    <x:row r="59">
      <x:c r="A59" s="628"/>
      <x:c r="B59" s="628"/>
      <x:c r="C59" s="628"/>
      <x:c r="D59" s="628"/>
      <x:c r="E59" s="628"/>
      <x:c r="F59" s="628"/>
      <x:c r="G59" s="628"/>
      <x:c r="H59" s="628"/>
      <x:c r="I59" s="628"/>
      <x:c r="J59" s="628"/>
      <x:c r="K59" s="628"/>
      <x:c r="L59" s="628"/>
      <x:c r="M59" s="628"/>
      <x:c r="N59" s="628"/>
    </x:row>
    <x:row r="60">
      <x:c r="A60" s="807" t="str">
        <x:f>"Selected case: "&amp;B8&amp;" | Valuation method: "&amp;B9&amp;" | Current price: "&amp;TEXT(B10,"$0.00")&amp;" | Model status: "&amp;I57</x:f>
      </x:c>
      <x:c r="B60" s="807"/>
      <x:c r="C60" s="807"/>
      <x:c r="D60" s="807"/>
      <x:c r="E60" s="807"/>
      <x:c r="F60" s="807"/>
      <x:c r="G60" s="807"/>
      <x:c r="H60" s="807"/>
      <x:c r="I60" s="807"/>
      <x:c r="J60" s="807"/>
      <x:c r="K60" s="807"/>
      <x:c r="L60" s="807"/>
      <x:c r="M60" s="807"/>
      <x:c r="N60" s="807"/>
    </x:row>
    <x:row r="61">
      <x:c r="A61" s="807"/>
      <x:c r="B61" s="807"/>
      <x:c r="C61" s="807"/>
      <x:c r="D61" s="807"/>
      <x:c r="E61" s="807"/>
      <x:c r="F61" s="807"/>
      <x:c r="G61" s="807"/>
      <x:c r="H61" s="807"/>
      <x:c r="I61" s="807"/>
      <x:c r="J61" s="807"/>
      <x:c r="K61" s="807"/>
      <x:c r="L61" s="807"/>
      <x:c r="M61" s="807"/>
      <x:c r="N61" s="807"/>
    </x:row>
    <x:row r="62">
      <x:c r="A62" s="628"/>
      <x:c r="B62" s="628"/>
      <x:c r="C62" s="628"/>
      <x:c r="D62" s="628"/>
      <x:c r="E62" s="628"/>
      <x:c r="F62" s="628"/>
      <x:c r="G62" s="628"/>
      <x:c r="H62" s="628"/>
      <x:c r="I62" s="628"/>
      <x:c r="J62" s="628"/>
      <x:c r="K62" s="628"/>
      <x:c r="L62" s="628"/>
      <x:c r="M62" s="628"/>
      <x:c r="N62" s="628"/>
    </x:row>
    <x:row r="63">
      <x:c r="A63" s="628"/>
      <x:c r="B63" s="628"/>
      <x:c r="C63" s="628"/>
      <x:c r="D63" s="628"/>
      <x:c r="E63" s="628"/>
      <x:c r="F63" s="628"/>
      <x:c r="G63" s="628"/>
      <x:c r="H63" s="628"/>
      <x:c r="I63" s="628"/>
      <x:c r="J63" s="628"/>
      <x:c r="K63" s="628"/>
      <x:c r="L63" s="628"/>
      <x:c r="M63" s="628"/>
      <x:c r="N63" s="628"/>
    </x:row>
    <x:row r="64">
      <x:c r="A64" s="628"/>
      <x:c r="B64" s="628"/>
      <x:c r="C64" s="628"/>
      <x:c r="D64" s="628"/>
      <x:c r="E64" s="628"/>
      <x:c r="F64" s="628"/>
      <x:c r="G64" s="628"/>
      <x:c r="H64" s="628"/>
      <x:c r="I64" s="628"/>
      <x:c r="J64" s="628"/>
      <x:c r="K64" s="628"/>
      <x:c r="L64" s="628"/>
      <x:c r="M64" s="628"/>
      <x:c r="N64" s="628"/>
    </x:row>
    <x:row r="65">
      <x:c r="A65" s="628"/>
      <x:c r="B65" s="628"/>
      <x:c r="C65" s="628"/>
      <x:c r="D65" s="628"/>
      <x:c r="E65" s="628"/>
      <x:c r="F65" s="628"/>
      <x:c r="G65" s="628"/>
      <x:c r="H65" s="628"/>
      <x:c r="I65" s="628"/>
      <x:c r="J65" s="628"/>
      <x:c r="K65" s="628"/>
      <x:c r="L65" s="628"/>
      <x:c r="M65" s="628"/>
      <x:c r="N65" s="628"/>
    </x:row>
  </x:sheetData>
  <x:mergeCells>
    <x:mergeCell ref="A1:N1"/>
    <x:mergeCell ref="A2:N2"/>
    <x:mergeCell ref="A4:C4"/>
    <x:mergeCell ref="D4:F4"/>
    <x:mergeCell ref="D6:F7"/>
    <x:mergeCell ref="G4:I4"/>
    <x:mergeCell ref="G6:I7"/>
    <x:mergeCell ref="J4:L4"/>
    <x:mergeCell ref="J6:L7"/>
    <x:mergeCell ref="M4:N4"/>
    <x:mergeCell ref="M6:N7"/>
    <x:mergeCell ref="D9:N9"/>
    <x:mergeCell ref="A15:N15"/>
    <x:mergeCell ref="A34:F34"/>
    <x:mergeCell ref="H34:N34"/>
    <x:mergeCell ref="A48:F48"/>
    <x:mergeCell ref="H48:N48"/>
    <x:mergeCell ref="A60:N61"/>
    <x:mergeCell ref="M36:N36"/>
    <x:mergeCell ref="M37:N37"/>
    <x:mergeCell ref="M38:N38"/>
    <x:mergeCell ref="M39:N39"/>
    <x:mergeCell ref="M40:N40"/>
    <x:mergeCell ref="M41:N41"/>
  </x:mergeCells>
  <x:conditionalFormatting sqref="K6:K11">
    <x:cfRule type="expression" dxfId="0" priority="1">
      <x:formula>K6="OK"</x:formula>
    </x:cfRule>
    <x:cfRule type="expression" dxfId="1" priority="2">
      <x:formula>K6="CHECK"</x:formula>
    </x:cfRule>
  </x:conditionalFormatting>
  <x:conditionalFormatting sqref="K6:K12">
    <x:cfRule type="expression" dxfId="80" priority="3">
      <x:formula>K6="OK"</x:formula>
    </x:cfRule>
    <x:cfRule type="expression" dxfId="81" priority="4">
      <x:formula>K6="CHECK"</x:formula>
    </x:cfRule>
  </x:conditionalFormatting>
  <x:conditionalFormatting sqref="D51:D57">
    <x:cfRule type="expression" dxfId="84" priority="5">
      <x:formula>D51="OK"</x:formula>
    </x:cfRule>
    <x:cfRule type="expression" dxfId="85" priority="6">
      <x:formula>OR(D51="WATCH",D51="MANAGEABLE")</x:formula>
    </x:cfRule>
    <x:cfRule type="expression" dxfId="86" priority="7">
      <x:formula>OR(D51="RISK",D51="DOWNSIDE",D51="HIGH")</x:formula>
    </x:cfRule>
    <x:cfRule type="expression" dxfId="87" priority="8">
      <x:formula>D51="UPSIDE"</x:formula>
    </x:cfRule>
  </x:conditionalFormatting>
  <x:conditionalFormatting sqref="I51:I57">
    <x:cfRule type="expression" dxfId="88" priority="9">
      <x:formula>I51="OK"</x:formula>
    </x:cfRule>
    <x:cfRule type="expression" dxfId="89" priority="10">
      <x:formula>I51="CHECK"</x:formula>
    </x:cfRule>
  </x:conditionalFormatting>
  <x:dataValidations count="3">
    <x:dataValidation type="list" sqref="B12">
      <x:formula1>"Unit Economics,Growth-Margin"</x:formula1>
    </x:dataValidation>
    <x:dataValidation type="list" sqref="B8">
      <x:formula1>"Bear,Base,Bull"</x:formula1>
    </x:dataValidation>
    <x:dataValidation type="list" sqref="B9">
      <x:formula1>"Perpetuity,Exit Multiple"</x:formula1>
    </x:dataValidation>
  </x:dataValidations>
  <x:pageMargins left="0.7" right="0.7" top="0.75" bottom="0.75" header="0.3" footer="0.3"/>
  <x:drawing xmlns:r="http://schemas.openxmlformats.org/officeDocument/2006/relationships" r:id="R350c9b27c48446b7"/>
</x:worksheet>
</file>

<file path=xl/worksheets/sheet2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818" t="str">
        <x:v>Inputs &amp; Historical Data</x:v>
      </x:c>
      <x:c r="B1" s="818"/>
      <x:c r="C1" s="818"/>
      <x:c r="D1" s="818"/>
      <x:c r="E1" s="818"/>
      <x:c r="F1" s="818"/>
      <x:c r="G1" s="818"/>
      <x:c r="H1" s="818"/>
      <x:c r="I1" s="818"/>
    </x:row>
    <x:row r="2">
      <x:c r="A2" s="819"/>
      <x:c r="B2" s="819"/>
      <x:c r="C2" s="819"/>
      <x:c r="D2" s="819"/>
      <x:c r="E2" s="819"/>
      <x:c r="F2" s="819"/>
      <x:c r="G2" s="819"/>
      <x:c r="H2" s="819"/>
      <x:c r="I2" s="819"/>
    </x:row>
    <x:row r="3">
      <x:c r="A3" s="644"/>
      <x:c r="B3" s="644"/>
      <x:c r="C3" s="644"/>
      <x:c r="D3" s="644"/>
      <x:c r="E3" s="644"/>
      <x:c r="F3" s="644"/>
      <x:c r="G3" s="644"/>
      <x:c r="H3" s="644"/>
      <x:c r="I3" s="644"/>
    </x:row>
    <x:row r="4">
      <x:c r="A4" s="830" t="str">
        <x:v>All figures in USD thousands unless stated</x:v>
      </x:c>
      <x:c r="B4" s="831" t="str">
        <x:v>2023A</x:v>
      </x:c>
      <x:c r="C4" s="831" t="str">
        <x:v>2024A</x:v>
      </x:c>
      <x:c r="D4" s="831" t="str">
        <x:v>2025A</x:v>
      </x:c>
      <x:c r="E4" s="831" t="str">
        <x:v>2026E</x:v>
      </x:c>
      <x:c r="F4" s="831" t="str">
        <x:v>2027E</x:v>
      </x:c>
      <x:c r="G4" s="831" t="str">
        <x:v>2028E</x:v>
      </x:c>
      <x:c r="H4" s="831" t="str">
        <x:v>2029E</x:v>
      </x:c>
      <x:c r="I4" s="831" t="str">
        <x:v>2030E</x:v>
      </x:c>
    </x:row>
    <x:row r="5">
      <x:c r="A5" s="644"/>
      <x:c r="B5" s="644"/>
      <x:c r="C5" s="644"/>
      <x:c r="D5" s="644"/>
      <x:c r="E5" s="644"/>
      <x:c r="F5" s="644"/>
      <x:c r="G5" s="644"/>
      <x:c r="H5" s="644"/>
      <x:c r="I5" s="644"/>
    </x:row>
    <x:row r="6">
      <x:c r="A6" s="821" t="str">
        <x:v>Historical Operating Data</x:v>
      </x:c>
      <x:c r="B6" s="821"/>
      <x:c r="C6" s="821"/>
      <x:c r="D6" s="821"/>
      <x:c r="E6" s="821"/>
      <x:c r="F6" s="821"/>
      <x:c r="G6" s="821"/>
      <x:c r="H6" s="821"/>
      <x:c r="I6" s="821"/>
    </x:row>
    <x:row r="7" outlineLevel="1">
      <x:c r="A7" s="833" t="str">
        <x:v>Sales Volume (units/day)</x:v>
      </x:c>
      <x:c r="B7" s="1030" t="n">
        <x:v>1450</x:v>
      </x:c>
      <x:c r="C7" s="1030" t="n">
        <x:v>1490</x:v>
      </x:c>
      <x:c r="D7" s="1030" t="n">
        <x:v>1530</x:v>
      </x:c>
      <x:c r="E7" s="644"/>
      <x:c r="F7" s="644"/>
      <x:c r="G7" s="644"/>
      <x:c r="H7" s="644"/>
      <x:c r="I7" s="644"/>
    </x:row>
    <x:row r="8" outlineLevel="1">
      <x:c r="A8" s="833" t="str">
        <x:v>Unit Price ($/unit)</x:v>
      </x:c>
      <x:c r="B8" s="1030" t="n">
        <x:v>110</x:v>
      </x:c>
      <x:c r="C8" s="1030" t="n">
        <x:v>114</x:v>
      </x:c>
      <x:c r="D8" s="1030" t="n">
        <x:v>118</x:v>
      </x:c>
      <x:c r="E8" s="644"/>
      <x:c r="F8" s="644"/>
      <x:c r="G8" s="644"/>
      <x:c r="H8" s="644"/>
      <x:c r="I8" s="644"/>
    </x:row>
    <x:row r="9" outlineLevel="1">
      <x:c r="A9" s="833" t="str">
        <x:v>Materials ($/unit)</x:v>
      </x:c>
      <x:c r="B9" s="1030" t="n">
        <x:v>13</x:v>
      </x:c>
      <x:c r="C9" s="1030" t="n">
        <x:v>13.5</x:v>
      </x:c>
      <x:c r="D9" s="1030" t="n">
        <x:v>14</x:v>
      </x:c>
      <x:c r="E9" s="644"/>
      <x:c r="F9" s="644"/>
      <x:c r="G9" s="644"/>
      <x:c r="H9" s="644"/>
      <x:c r="I9" s="644"/>
    </x:row>
    <x:row r="10" outlineLevel="1">
      <x:c r="A10" s="833" t="str">
        <x:v>Packaging ($/unit)</x:v>
      </x:c>
      <x:c r="B10" s="1030" t="n">
        <x:v>1.2</x:v>
      </x:c>
      <x:c r="C10" s="1030" t="n">
        <x:v>1.25</x:v>
      </x:c>
      <x:c r="D10" s="1030" t="n">
        <x:v>1.3</x:v>
      </x:c>
      <x:c r="E10" s="644"/>
      <x:c r="F10" s="644"/>
      <x:c r="G10" s="644"/>
      <x:c r="H10" s="644"/>
      <x:c r="I10" s="644"/>
    </x:row>
    <x:row r="11" outlineLevel="1">
      <x:c r="A11" s="833" t="str">
        <x:v>Transportation ($/unit)</x:v>
      </x:c>
      <x:c r="B11" s="1030" t="n">
        <x:v>2</x:v>
      </x:c>
      <x:c r="C11" s="1030" t="n">
        <x:v>2.1</x:v>
      </x:c>
      <x:c r="D11" s="1030" t="n">
        <x:v>2.2</x:v>
      </x:c>
      <x:c r="E11" s="644"/>
      <x:c r="F11" s="644"/>
      <x:c r="G11" s="644"/>
      <x:c r="H11" s="644"/>
      <x:c r="I11" s="644"/>
    </x:row>
    <x:row r="12" outlineLevel="1">
      <x:c r="A12" s="833" t="str">
        <x:v>Labour</x:v>
      </x:c>
      <x:c r="B12" s="1030" t="n">
        <x:v>18000</x:v>
      </x:c>
      <x:c r="C12" s="1030" t="n">
        <x:v>19000</x:v>
      </x:c>
      <x:c r="D12" s="1030" t="n">
        <x:v>20000</x:v>
      </x:c>
      <x:c r="E12" s="644"/>
      <x:c r="F12" s="644"/>
      <x:c r="G12" s="644"/>
      <x:c r="H12" s="644"/>
      <x:c r="I12" s="644"/>
    </x:row>
    <x:row r="13" outlineLevel="1">
      <x:c r="A13" s="833" t="str">
        <x:v>Utilities</x:v>
      </x:c>
      <x:c r="B13" s="1030" t="n">
        <x:v>4500</x:v>
      </x:c>
      <x:c r="C13" s="1030" t="n">
        <x:v>4700</x:v>
      </x:c>
      <x:c r="D13" s="1030" t="n">
        <x:v>5000</x:v>
      </x:c>
      <x:c r="E13" s="644"/>
      <x:c r="F13" s="644"/>
      <x:c r="G13" s="644"/>
      <x:c r="H13" s="644"/>
      <x:c r="I13" s="644"/>
    </x:row>
    <x:row r="14" outlineLevel="1">
      <x:c r="A14" s="833" t="str">
        <x:v>Insurance</x:v>
      </x:c>
      <x:c r="B14" s="1030" t="n">
        <x:v>3200</x:v>
      </x:c>
      <x:c r="C14" s="1030" t="n">
        <x:v>3300</x:v>
      </x:c>
      <x:c r="D14" s="1030" t="n">
        <x:v>3400</x:v>
      </x:c>
      <x:c r="E14" s="644"/>
      <x:c r="F14" s="644"/>
      <x:c r="G14" s="644"/>
      <x:c r="H14" s="644"/>
      <x:c r="I14" s="644"/>
    </x:row>
    <x:row r="15" outlineLevel="1">
      <x:c r="A15" s="644"/>
      <x:c r="B15" s="644"/>
      <x:c r="C15" s="644"/>
      <x:c r="D15" s="644"/>
      <x:c r="E15" s="644"/>
      <x:c r="F15" s="644"/>
      <x:c r="G15" s="644"/>
      <x:c r="H15" s="644"/>
      <x:c r="I15" s="644"/>
    </x:row>
    <x:row r="16">
      <x:c r="A16" s="644"/>
      <x:c r="B16" s="644"/>
      <x:c r="C16" s="644"/>
      <x:c r="D16" s="644"/>
      <x:c r="E16" s="644"/>
      <x:c r="F16" s="644"/>
      <x:c r="G16" s="644"/>
      <x:c r="H16" s="644"/>
      <x:c r="I16" s="644"/>
    </x:row>
    <x:row r="17">
      <x:c r="A17" s="821" t="str">
        <x:v>Historical Financial Data</x:v>
      </x:c>
      <x:c r="B17" s="821"/>
      <x:c r="C17" s="821"/>
      <x:c r="D17" s="821"/>
      <x:c r="E17" s="821"/>
      <x:c r="F17" s="821"/>
      <x:c r="G17" s="821"/>
      <x:c r="H17" s="821"/>
      <x:c r="I17" s="821"/>
    </x:row>
    <x:row r="18" outlineLevel="1">
      <x:c r="A18" s="833" t="str">
        <x:v>Revenue</x:v>
      </x:c>
      <x:c r="B18" s="1031" t="n">
        <x:v>58000</x:v>
      </x:c>
      <x:c r="C18" s="1031" t="n">
        <x:v>62000</x:v>
      </x:c>
      <x:c r="D18" s="1031" t="n">
        <x:v>65000</x:v>
      </x:c>
      <x:c r="E18" s="644"/>
      <x:c r="F18" s="644"/>
      <x:c r="G18" s="644"/>
      <x:c r="H18" s="644"/>
      <x:c r="I18" s="644"/>
    </x:row>
    <x:row r="19" outlineLevel="1">
      <x:c r="A19" s="833" t="str">
        <x:v>SG&amp;A</x:v>
      </x:c>
      <x:c r="B19" s="1031" t="n">
        <x:v>-6500</x:v>
      </x:c>
      <x:c r="C19" s="1031" t="n">
        <x:v>-7000</x:v>
      </x:c>
      <x:c r="D19" s="1031" t="n">
        <x:v>-7600</x:v>
      </x:c>
      <x:c r="E19" s="644"/>
      <x:c r="F19" s="644"/>
      <x:c r="G19" s="644"/>
      <x:c r="H19" s="644"/>
      <x:c r="I19" s="644"/>
    </x:row>
    <x:row r="20" outlineLevel="1">
      <x:c r="A20" s="833" t="str">
        <x:v>Other OpEx</x:v>
      </x:c>
      <x:c r="B20" s="1031" t="n">
        <x:v>-1500</x:v>
      </x:c>
      <x:c r="C20" s="1031" t="n">
        <x:v>-1600</x:v>
      </x:c>
      <x:c r="D20" s="1031" t="n">
        <x:v>-1700</x:v>
      </x:c>
      <x:c r="E20" s="644"/>
      <x:c r="F20" s="644"/>
      <x:c r="G20" s="644"/>
      <x:c r="H20" s="644"/>
      <x:c r="I20" s="644"/>
    </x:row>
    <x:row r="21" outlineLevel="1">
      <x:c r="A21" s="833" t="str">
        <x:v>Depreciation</x:v>
      </x:c>
      <x:c r="B21" s="1031" t="n">
        <x:v>-3800</x:v>
      </x:c>
      <x:c r="C21" s="1031" t="n">
        <x:v>-4000</x:v>
      </x:c>
      <x:c r="D21" s="1031" t="n">
        <x:v>-4200</x:v>
      </x:c>
      <x:c r="E21" s="644"/>
      <x:c r="F21" s="644"/>
      <x:c r="G21" s="644"/>
      <x:c r="H21" s="644"/>
      <x:c r="I21" s="644"/>
    </x:row>
    <x:row r="22" outlineLevel="1">
      <x:c r="A22" s="833" t="str">
        <x:v>Interest Expense</x:v>
      </x:c>
      <x:c r="B22" s="1031" t="n">
        <x:v>-2000</x:v>
      </x:c>
      <x:c r="C22" s="1031" t="n">
        <x:v>-1900</x:v>
      </x:c>
      <x:c r="D22" s="1031" t="n">
        <x:v>-1800</x:v>
      </x:c>
      <x:c r="E22" s="644"/>
      <x:c r="F22" s="644"/>
      <x:c r="G22" s="644"/>
      <x:c r="H22" s="644"/>
      <x:c r="I22" s="644"/>
    </x:row>
    <x:row r="23" outlineLevel="1">
      <x:c r="A23" s="833" t="str">
        <x:v>Current Tax</x:v>
      </x:c>
      <x:c r="B23" s="1031" t="n">
        <x:v>-2200</x:v>
      </x:c>
      <x:c r="C23" s="1031" t="n">
        <x:v>-2500</x:v>
      </x:c>
      <x:c r="D23" s="1031" t="n">
        <x:v>-2700</x:v>
      </x:c>
      <x:c r="E23" s="644"/>
      <x:c r="F23" s="644"/>
      <x:c r="G23" s="644"/>
      <x:c r="H23" s="644"/>
      <x:c r="I23" s="644"/>
    </x:row>
    <x:row r="24" outlineLevel="1">
      <x:c r="A24" s="833" t="str">
        <x:v>Cash</x:v>
      </x:c>
      <x:c r="B24" s="1031" t="n">
        <x:v>9000</x:v>
      </x:c>
      <x:c r="C24" s="1031" t="n">
        <x:v>11000</x:v>
      </x:c>
      <x:c r="D24" s="1031" t="n">
        <x:v>13000</x:v>
      </x:c>
      <x:c r="E24" s="644"/>
      <x:c r="F24" s="644"/>
      <x:c r="G24" s="644"/>
      <x:c r="H24" s="644"/>
      <x:c r="I24" s="644"/>
    </x:row>
    <x:row r="25" outlineLevel="1">
      <x:c r="A25" s="833" t="str">
        <x:v>Accounts Receivable</x:v>
      </x:c>
      <x:c r="B25" s="1031" t="n">
        <x:v>6500</x:v>
      </x:c>
      <x:c r="C25" s="1031" t="n">
        <x:v>7000</x:v>
      </x:c>
      <x:c r="D25" s="1031" t="n">
        <x:v>7500</x:v>
      </x:c>
      <x:c r="E25" s="644"/>
      <x:c r="F25" s="644"/>
      <x:c r="G25" s="644"/>
      <x:c r="H25" s="644"/>
      <x:c r="I25" s="644"/>
    </x:row>
    <x:row r="26" outlineLevel="1">
      <x:c r="A26" s="833" t="str">
        <x:v>Inventory</x:v>
      </x:c>
      <x:c r="B26" s="1031" t="n">
        <x:v>7000</x:v>
      </x:c>
      <x:c r="C26" s="1031" t="n">
        <x:v>7600</x:v>
      </x:c>
      <x:c r="D26" s="1031" t="n">
        <x:v>8200</x:v>
      </x:c>
      <x:c r="E26" s="644"/>
      <x:c r="F26" s="644"/>
      <x:c r="G26" s="644"/>
      <x:c r="H26" s="644"/>
      <x:c r="I26" s="644"/>
    </x:row>
    <x:row r="27" outlineLevel="1">
      <x:c r="A27" s="833" t="str">
        <x:v>PP&amp;E</x:v>
      </x:c>
      <x:c r="B27" s="1031" t="n">
        <x:v>42000</x:v>
      </x:c>
      <x:c r="C27" s="1031" t="n">
        <x:v>44000</x:v>
      </x:c>
      <x:c r="D27" s="1031" t="n">
        <x:v>46000</x:v>
      </x:c>
      <x:c r="E27" s="644"/>
      <x:c r="F27" s="644"/>
      <x:c r="G27" s="644"/>
      <x:c r="H27" s="644"/>
      <x:c r="I27" s="644"/>
    </x:row>
    <x:row r="28" outlineLevel="1">
      <x:c r="A28" s="833" t="str">
        <x:v>Accounts Payable</x:v>
      </x:c>
      <x:c r="B28" s="1031" t="n">
        <x:v>6200</x:v>
      </x:c>
      <x:c r="C28" s="1031" t="n">
        <x:v>6700</x:v>
      </x:c>
      <x:c r="D28" s="1031" t="n">
        <x:v>7100</x:v>
      </x:c>
      <x:c r="E28" s="644"/>
      <x:c r="F28" s="644"/>
      <x:c r="G28" s="644"/>
      <x:c r="H28" s="644"/>
      <x:c r="I28" s="644"/>
    </x:row>
    <x:row r="29" outlineLevel="1">
      <x:c r="A29" s="833" t="str">
        <x:v>Debt</x:v>
      </x:c>
      <x:c r="B29" s="1031" t="n">
        <x:v>28000</x:v>
      </x:c>
      <x:c r="C29" s="1031" t="n">
        <x:v>25000</x:v>
      </x:c>
      <x:c r="D29" s="1031" t="n">
        <x:v>22000</x:v>
      </x:c>
      <x:c r="E29" s="644"/>
      <x:c r="F29" s="644"/>
      <x:c r="G29" s="644"/>
      <x:c r="H29" s="644"/>
      <x:c r="I29" s="644"/>
    </x:row>
    <x:row r="30" outlineLevel="1">
      <x:c r="A30" s="833" t="str">
        <x:v>Deferred Tax Liability</x:v>
      </x:c>
      <x:c r="B30" s="1031" t="n">
        <x:v>3200</x:v>
      </x:c>
      <x:c r="C30" s="1031" t="n">
        <x:v>3500</x:v>
      </x:c>
      <x:c r="D30" s="1031" t="n">
        <x:v>3800</x:v>
      </x:c>
      <x:c r="E30" s="644"/>
      <x:c r="F30" s="644"/>
      <x:c r="G30" s="644"/>
      <x:c r="H30" s="644"/>
      <x:c r="I30" s="644"/>
    </x:row>
    <x:row r="31" outlineLevel="1">
      <x:c r="A31" s="833" t="str">
        <x:v>Equity Capital</x:v>
      </x:c>
      <x:c r="B31" s="1031" t="n">
        <x:v>12000</x:v>
      </x:c>
      <x:c r="C31" s="1031" t="n">
        <x:v>12000</x:v>
      </x:c>
      <x:c r="D31" s="1031" t="n">
        <x:v>12000</x:v>
      </x:c>
      <x:c r="E31" s="644"/>
      <x:c r="F31" s="644"/>
      <x:c r="G31" s="644"/>
      <x:c r="H31" s="644"/>
      <x:c r="I31" s="644"/>
    </x:row>
    <x:row r="32" outlineLevel="1">
      <x:c r="A32" s="833" t="str">
        <x:v>Retained Earnings</x:v>
      </x:c>
      <x:c r="B32" s="1031" t="n">
        <x:v>15100</x:v>
      </x:c>
      <x:c r="C32" s="1031" t="n">
        <x:v>22400</x:v>
      </x:c>
      <x:c r="D32" s="1031" t="n">
        <x:v>29800</x:v>
      </x:c>
      <x:c r="E32" s="644"/>
      <x:c r="F32" s="644"/>
      <x:c r="G32" s="644"/>
      <x:c r="H32" s="644"/>
      <x:c r="I32" s="644"/>
    </x:row>
    <x:row r="33" outlineLevel="1">
      <x:c r="A33" s="833" t="str">
        <x:v>Tax Loss Carryforward</x:v>
      </x:c>
      <x:c r="B33" s="1031" t="n">
        <x:v>6000</x:v>
      </x:c>
      <x:c r="C33" s="1031" t="n">
        <x:v>3000</x:v>
      </x:c>
      <x:c r="D33" s="1031" t="n">
        <x:v>0</x:v>
      </x:c>
      <x:c r="E33" s="644"/>
      <x:c r="F33" s="644"/>
      <x:c r="G33" s="644"/>
      <x:c r="H33" s="644"/>
      <x:c r="I33" s="644"/>
    </x:row>
    <x:row r="34" outlineLevel="1">
      <x:c r="A34" s="833" t="str">
        <x:v>Tax Basis PP&amp;E</x:v>
      </x:c>
      <x:c r="B34" s="1031" t="n">
        <x:v>38000</x:v>
      </x:c>
      <x:c r="C34" s="1031" t="n">
        <x:v>39000</x:v>
      </x:c>
      <x:c r="D34" s="1031" t="n">
        <x:v>40000</x:v>
      </x:c>
      <x:c r="E34" s="644"/>
      <x:c r="F34" s="644"/>
      <x:c r="G34" s="644"/>
      <x:c r="H34" s="644"/>
      <x:c r="I34" s="644"/>
    </x:row>
    <x:row r="35">
      <x:c r="A35" s="644"/>
      <x:c r="B35" s="644"/>
      <x:c r="C35" s="644"/>
      <x:c r="D35" s="644"/>
      <x:c r="E35" s="644"/>
      <x:c r="F35" s="644"/>
      <x:c r="G35" s="644"/>
      <x:c r="H35" s="644"/>
      <x:c r="I35" s="644"/>
    </x:row>
    <x:row r="36">
      <x:c r="A36" s="821" t="str">
        <x:v>Forecast Assumptions</x:v>
      </x:c>
      <x:c r="B36" s="821"/>
      <x:c r="C36" s="821"/>
      <x:c r="D36" s="821"/>
      <x:c r="E36" s="821"/>
      <x:c r="F36" s="821"/>
      <x:c r="G36" s="821"/>
      <x:c r="H36" s="821"/>
      <x:c r="I36" s="821"/>
    </x:row>
    <x:row r="37" outlineLevel="1">
      <x:c r="A37" s="832" t="str">
        <x:v>Driver</x:v>
      </x:c>
      <x:c r="B37" s="832" t="str">
        <x:v>Units</x:v>
      </x:c>
      <x:c r="C37" s="832" t="str">
        <x:v>2026E</x:v>
      </x:c>
      <x:c r="D37" s="832" t="str">
        <x:v>2027E</x:v>
      </x:c>
      <x:c r="E37" s="832" t="str">
        <x:v>2028E</x:v>
      </x:c>
      <x:c r="F37" s="832" t="str">
        <x:v>2029E</x:v>
      </x:c>
      <x:c r="G37" s="832" t="str">
        <x:v>2030E</x:v>
      </x:c>
      <x:c r="H37" s="644"/>
      <x:c r="I37" s="644"/>
    </x:row>
    <x:row r="38" outlineLevel="1">
      <x:c r="A38" s="833" t="str">
        <x:v>Days in Period</x:v>
      </x:c>
      <x:c r="B38" s="833" t="str">
        <x:v>days</x:v>
      </x:c>
      <x:c r="C38" s="1030" t="n">
        <x:v>365</x:v>
      </x:c>
      <x:c r="D38" s="1030" t="n">
        <x:v>365</x:v>
      </x:c>
      <x:c r="E38" s="1030" t="n">
        <x:v>365</x:v>
      </x:c>
      <x:c r="F38" s="1030" t="n">
        <x:v>365</x:v>
      </x:c>
      <x:c r="G38" s="1030" t="n">
        <x:v>365</x:v>
      </x:c>
      <x:c r="H38" s="644"/>
      <x:c r="I38" s="644"/>
    </x:row>
    <x:row r="39" outlineLevel="1">
      <x:c r="A39" s="833" t="str">
        <x:v>Sales Volume Growth</x:v>
      </x:c>
      <x:c r="B39" s="833" t="str">
        <x:v>%</x:v>
      </x:c>
      <x:c r="C39" s="1032" t="n">
        <x:v>0.03</x:v>
      </x:c>
      <x:c r="D39" s="1032" t="n">
        <x:v>0.025</x:v>
      </x:c>
      <x:c r="E39" s="1032" t="n">
        <x:v>0.02</x:v>
      </x:c>
      <x:c r="F39" s="1032" t="n">
        <x:v>0.015</x:v>
      </x:c>
      <x:c r="G39" s="1032" t="n">
        <x:v>0.01</x:v>
      </x:c>
      <x:c r="H39" s="644"/>
      <x:c r="I39" s="644"/>
    </x:row>
    <x:row r="40" outlineLevel="1">
      <x:c r="A40" s="833" t="str">
        <x:v>Plant Capacity</x:v>
      </x:c>
      <x:c r="B40" s="833" t="str">
        <x:v>units/day</x:v>
      </x:c>
      <x:c r="C40" s="1030" t="n">
        <x:v>1800</x:v>
      </x:c>
      <x:c r="D40" s="1030" t="n">
        <x:v>1800</x:v>
      </x:c>
      <x:c r="E40" s="1030" t="n">
        <x:v>1800</x:v>
      </x:c>
      <x:c r="F40" s="1030" t="n">
        <x:v>1800</x:v>
      </x:c>
      <x:c r="G40" s="1030" t="n">
        <x:v>1800</x:v>
      </x:c>
      <x:c r="H40" s="644"/>
      <x:c r="I40" s="644"/>
    </x:row>
    <x:row r="41" outlineLevel="1">
      <x:c r="A41" s="833" t="str">
        <x:v>Price Increase</x:v>
      </x:c>
      <x:c r="B41" s="833" t="str">
        <x:v>%</x:v>
      </x:c>
      <x:c r="C41" s="1032" t="n">
        <x:v>0.025</x:v>
      </x:c>
      <x:c r="D41" s="1032" t="n">
        <x:v>0.025</x:v>
      </x:c>
      <x:c r="E41" s="1032" t="n">
        <x:v>0.02</x:v>
      </x:c>
      <x:c r="F41" s="1032" t="n">
        <x:v>0.02</x:v>
      </x:c>
      <x:c r="G41" s="1032" t="n">
        <x:v>0.02</x:v>
      </x:c>
      <x:c r="H41" s="644"/>
      <x:c r="I41" s="644"/>
    </x:row>
    <x:row r="42" outlineLevel="1">
      <x:c r="A42" s="833" t="str">
        <x:v>Inflation</x:v>
      </x:c>
      <x:c r="B42" s="833" t="str">
        <x:v>%</x:v>
      </x:c>
      <x:c r="C42" s="1032" t="n">
        <x:v>0.03</x:v>
      </x:c>
      <x:c r="D42" s="1032" t="n">
        <x:v>0.028</x:v>
      </x:c>
      <x:c r="E42" s="1032" t="n">
        <x:v>0.025</x:v>
      </x:c>
      <x:c r="F42" s="1032" t="n">
        <x:v>0.025</x:v>
      </x:c>
      <x:c r="G42" s="1032" t="n">
        <x:v>0.025</x:v>
      </x:c>
      <x:c r="H42" s="644"/>
      <x:c r="I42" s="644"/>
    </x:row>
    <x:row r="43" outlineLevel="1">
      <x:c r="A43" s="833" t="str">
        <x:v>SG&amp;A % Revenue</x:v>
      </x:c>
      <x:c r="B43" s="833" t="str">
        <x:v>%</x:v>
      </x:c>
      <x:c r="C43" s="1032" t="n">
        <x:v>0.115</x:v>
      </x:c>
      <x:c r="D43" s="1032" t="n">
        <x:v>0.112</x:v>
      </x:c>
      <x:c r="E43" s="1032" t="n">
        <x:v>0.11</x:v>
      </x:c>
      <x:c r="F43" s="1032" t="n">
        <x:v>0.108</x:v>
      </x:c>
      <x:c r="G43" s="1032" t="n">
        <x:v>0.106</x:v>
      </x:c>
      <x:c r="H43" s="644"/>
      <x:c r="I43" s="644"/>
    </x:row>
    <x:row r="44" outlineLevel="1">
      <x:c r="A44" s="833" t="str">
        <x:v>Other OpEx % Revenue</x:v>
      </x:c>
      <x:c r="B44" s="833" t="str">
        <x:v>%</x:v>
      </x:c>
      <x:c r="C44" s="1032" t="n">
        <x:v>0.025</x:v>
      </x:c>
      <x:c r="D44" s="1032" t="n">
        <x:v>0.025</x:v>
      </x:c>
      <x:c r="E44" s="1032" t="n">
        <x:v>0.024</x:v>
      </x:c>
      <x:c r="F44" s="1032" t="n">
        <x:v>0.024</x:v>
      </x:c>
      <x:c r="G44" s="1032" t="n">
        <x:v>0.023</x:v>
      </x:c>
      <x:c r="H44" s="644"/>
      <x:c r="I44" s="644"/>
    </x:row>
    <x:row r="45" outlineLevel="1">
      <x:c r="A45" s="833" t="str">
        <x:v>DSO</x:v>
      </x:c>
      <x:c r="B45" s="833" t="str">
        <x:v>days</x:v>
      </x:c>
      <x:c r="C45" s="1030" t="n">
        <x:v>42</x:v>
      </x:c>
      <x:c r="D45" s="1030" t="n">
        <x:v>41</x:v>
      </x:c>
      <x:c r="E45" s="1030" t="n">
        <x:v>40</x:v>
      </x:c>
      <x:c r="F45" s="1030" t="n">
        <x:v>40</x:v>
      </x:c>
      <x:c r="G45" s="1030" t="n">
        <x:v>39</x:v>
      </x:c>
      <x:c r="H45" s="644"/>
      <x:c r="I45" s="644"/>
    </x:row>
    <x:row r="46" outlineLevel="1">
      <x:c r="A46" s="833" t="str">
        <x:v>DIO</x:v>
      </x:c>
      <x:c r="B46" s="833" t="str">
        <x:v>days</x:v>
      </x:c>
      <x:c r="C46" s="1030" t="n">
        <x:v>35</x:v>
      </x:c>
      <x:c r="D46" s="1030" t="n">
        <x:v>34</x:v>
      </x:c>
      <x:c r="E46" s="1030" t="n">
        <x:v>33</x:v>
      </x:c>
      <x:c r="F46" s="1030" t="n">
        <x:v>32</x:v>
      </x:c>
      <x:c r="G46" s="1030" t="n">
        <x:v>31</x:v>
      </x:c>
      <x:c r="H46" s="644"/>
      <x:c r="I46" s="644"/>
    </x:row>
    <x:row r="47" outlineLevel="1">
      <x:c r="A47" s="833" t="str">
        <x:v>DPO</x:v>
      </x:c>
      <x:c r="B47" s="833" t="str">
        <x:v>days</x:v>
      </x:c>
      <x:c r="C47" s="1030" t="n">
        <x:v>45</x:v>
      </x:c>
      <x:c r="D47" s="1030" t="n">
        <x:v>46</x:v>
      </x:c>
      <x:c r="E47" s="1030" t="n">
        <x:v>47</x:v>
      </x:c>
      <x:c r="F47" s="1030" t="n">
        <x:v>48</x:v>
      </x:c>
      <x:c r="G47" s="1030" t="n">
        <x:v>49</x:v>
      </x:c>
      <x:c r="H47" s="644"/>
      <x:c r="I47" s="644"/>
    </x:row>
    <x:row r="48" outlineLevel="1">
      <x:c r="A48" s="833" t="str">
        <x:v>Capex % Revenue</x:v>
      </x:c>
      <x:c r="B48" s="833" t="str">
        <x:v>%</x:v>
      </x:c>
      <x:c r="C48" s="1030" t="n">
        <x:v>0.075</x:v>
      </x:c>
      <x:c r="D48" s="1030" t="n">
        <x:v>0.072</x:v>
      </x:c>
      <x:c r="E48" s="1030" t="n">
        <x:v>0.07</x:v>
      </x:c>
      <x:c r="F48" s="1030" t="n">
        <x:v>0.068</x:v>
      </x:c>
      <x:c r="G48" s="1030" t="n">
        <x:v>0.065</x:v>
      </x:c>
      <x:c r="H48" s="644"/>
      <x:c r="I48" s="644"/>
    </x:row>
    <x:row r="49" outlineLevel="1">
      <x:c r="A49" s="833" t="str">
        <x:v>Useful Life Existing</x:v>
      </x:c>
      <x:c r="B49" s="833" t="str">
        <x:v>years</x:v>
      </x:c>
      <x:c r="C49" s="1030" t="n">
        <x:v>15</x:v>
      </x:c>
      <x:c r="D49" s="1030" t="n">
        <x:v>15</x:v>
      </x:c>
      <x:c r="E49" s="1030" t="n">
        <x:v>15</x:v>
      </x:c>
      <x:c r="F49" s="1030" t="n">
        <x:v>15</x:v>
      </x:c>
      <x:c r="G49" s="1030" t="n">
        <x:v>15</x:v>
      </x:c>
      <x:c r="H49" s="644"/>
      <x:c r="I49" s="644"/>
    </x:row>
    <x:row r="50" outlineLevel="1">
      <x:c r="A50" s="833" t="str">
        <x:v>Useful Life New</x:v>
      </x:c>
      <x:c r="B50" s="833" t="str">
        <x:v>years</x:v>
      </x:c>
      <x:c r="C50" s="1030" t="n">
        <x:v>20</x:v>
      </x:c>
      <x:c r="D50" s="1030" t="n">
        <x:v>20</x:v>
      </x:c>
      <x:c r="E50" s="1030" t="n">
        <x:v>20</x:v>
      </x:c>
      <x:c r="F50" s="1030" t="n">
        <x:v>20</x:v>
      </x:c>
      <x:c r="G50" s="1030" t="n">
        <x:v>20</x:v>
      </x:c>
      <x:c r="H50" s="644"/>
      <x:c r="I50" s="644"/>
    </x:row>
    <x:row r="51" outlineLevel="1">
      <x:c r="A51" s="833" t="str">
        <x:v>First Year Depreciation</x:v>
      </x:c>
      <x:c r="B51" s="833" t="str">
        <x:v>%</x:v>
      </x:c>
      <x:c r="C51" s="1032" t="n">
        <x:v>0.5</x:v>
      </x:c>
      <x:c r="D51" s="1032" t="n">
        <x:v>0.5</x:v>
      </x:c>
      <x:c r="E51" s="1032" t="n">
        <x:v>0.5</x:v>
      </x:c>
      <x:c r="F51" s="1032" t="n">
        <x:v>0.5</x:v>
      </x:c>
      <x:c r="G51" s="1032" t="n">
        <x:v>0.5</x:v>
      </x:c>
      <x:c r="H51" s="644"/>
      <x:c r="I51" s="644"/>
    </x:row>
    <x:row r="52" outlineLevel="1">
      <x:c r="A52" s="833" t="str">
        <x:v>Tax Rate</x:v>
      </x:c>
      <x:c r="B52" s="833" t="str">
        <x:v>%</x:v>
      </x:c>
      <x:c r="C52" s="1032" t="n">
        <x:v>0.25</x:v>
      </x:c>
      <x:c r="D52" s="1032" t="n">
        <x:v>0.25</x:v>
      </x:c>
      <x:c r="E52" s="1032" t="n">
        <x:v>0.25</x:v>
      </x:c>
      <x:c r="F52" s="1032" t="n">
        <x:v>0.25</x:v>
      </x:c>
      <x:c r="G52" s="1032" t="n">
        <x:v>0.25</x:v>
      </x:c>
      <x:c r="H52" s="644"/>
      <x:c r="I52" s="644"/>
    </x:row>
    <x:row r="53" outlineLevel="1">
      <x:c r="A53" s="833" t="str">
        <x:v>Dividend Payout</x:v>
      </x:c>
      <x:c r="B53" s="833" t="str">
        <x:v>%</x:v>
      </x:c>
      <x:c r="C53" s="1032" t="n">
        <x:v>0.2</x:v>
      </x:c>
      <x:c r="D53" s="1032" t="n">
        <x:v>0.2</x:v>
      </x:c>
      <x:c r="E53" s="1032" t="n">
        <x:v>0.2</x:v>
      </x:c>
      <x:c r="F53" s="1032" t="n">
        <x:v>0.2</x:v>
      </x:c>
      <x:c r="G53" s="1032" t="n">
        <x:v>0.2</x:v>
      </x:c>
      <x:c r="H53" s="644"/>
      <x:c r="I53" s="644"/>
    </x:row>
    <x:row r="54" outlineLevel="1">
      <x:c r="A54" s="833" t="str">
        <x:v>Debt Repayment</x:v>
      </x:c>
      <x:c r="B54" s="833" t="str">
        <x:v>$000</x:v>
      </x:c>
      <x:c r="C54" s="1030" t="n">
        <x:v>3000</x:v>
      </x:c>
      <x:c r="D54" s="1030" t="n">
        <x:v>3000</x:v>
      </x:c>
      <x:c r="E54" s="1030" t="n">
        <x:v>3000</x:v>
      </x:c>
      <x:c r="F54" s="1030" t="n">
        <x:v>2500</x:v>
      </x:c>
      <x:c r="G54" s="1030" t="n">
        <x:v>2500</x:v>
      </x:c>
      <x:c r="H54" s="644"/>
      <x:c r="I54" s="644"/>
    </x:row>
    <x:row r="55" outlineLevel="1">
      <x:c r="A55" s="833" t="str">
        <x:v>New Borrowing</x:v>
      </x:c>
      <x:c r="B55" s="833" t="str">
        <x:v>$000</x:v>
      </x:c>
      <x:c r="C55" s="1030" t="n">
        <x:v>0</x:v>
      </x:c>
      <x:c r="D55" s="1030" t="n">
        <x:v>0</x:v>
      </x:c>
      <x:c r="E55" s="1030" t="n">
        <x:v>0</x:v>
      </x:c>
      <x:c r="F55" s="1030" t="n">
        <x:v>0</x:v>
      </x:c>
      <x:c r="G55" s="1030" t="n">
        <x:v>0</x:v>
      </x:c>
      <x:c r="H55" s="644"/>
      <x:c r="I55" s="644"/>
    </x:row>
    <x:row r="56" outlineLevel="1">
      <x:c r="A56" s="644"/>
      <x:c r="B56" s="644"/>
      <x:c r="C56" s="644"/>
      <x:c r="D56" s="644"/>
      <x:c r="E56" s="644"/>
      <x:c r="F56" s="644"/>
      <x:c r="G56" s="644"/>
      <x:c r="H56" s="644"/>
      <x:c r="I56" s="644"/>
    </x:row>
    <x:row r="57">
      <x:c r="A57" s="644"/>
      <x:c r="B57" s="644"/>
      <x:c r="C57" s="644"/>
      <x:c r="D57" s="644"/>
      <x:c r="E57" s="644"/>
      <x:c r="F57" s="644"/>
      <x:c r="G57" s="644"/>
      <x:c r="H57" s="644"/>
      <x:c r="I57" s="644"/>
    </x:row>
    <x:row r="58">
      <x:c r="A58" s="826" t="str">
        <x:v>Valuation Assumptions</x:v>
      </x:c>
      <x:c r="B58" s="826"/>
      <x:c r="C58" s="826"/>
      <x:c r="D58" s="826"/>
      <x:c r="E58" s="644"/>
      <x:c r="F58" s="644"/>
      <x:c r="G58" s="644"/>
      <x:c r="H58" s="644"/>
      <x:c r="I58" s="644"/>
    </x:row>
    <x:row r="59" outlineLevel="1">
      <x:c r="A59" s="833" t="str">
        <x:v>Risk-Free Rate</x:v>
      </x:c>
      <x:c r="B59" s="833" t="str">
        <x:v>%</x:v>
      </x:c>
      <x:c r="C59" s="1032" t="n">
        <x:v>0.04</x:v>
      </x:c>
      <x:c r="D59" s="644"/>
      <x:c r="E59" s="644"/>
      <x:c r="F59" s="644"/>
      <x:c r="G59" s="644"/>
      <x:c r="H59" s="644"/>
      <x:c r="I59" s="644"/>
    </x:row>
    <x:row r="60" outlineLevel="1">
      <x:c r="A60" s="833" t="str">
        <x:v>Equity Risk Premium</x:v>
      </x:c>
      <x:c r="B60" s="833" t="str">
        <x:v>%</x:v>
      </x:c>
      <x:c r="C60" s="1032" t="n">
        <x:v>0.055</x:v>
      </x:c>
      <x:c r="D60" s="644"/>
      <x:c r="E60" s="644"/>
      <x:c r="F60" s="644"/>
      <x:c r="G60" s="644"/>
      <x:c r="H60" s="644"/>
      <x:c r="I60" s="644"/>
    </x:row>
    <x:row r="61" outlineLevel="1">
      <x:c r="A61" s="833" t="str">
        <x:v>Beta</x:v>
      </x:c>
      <x:c r="B61" s="833" t="str">
        <x:v>x</x:v>
      </x:c>
      <x:c r="C61" s="1033" t="n">
        <x:v>1.1</x:v>
      </x:c>
      <x:c r="D61" s="644"/>
      <x:c r="E61" s="644"/>
      <x:c r="F61" s="644"/>
      <x:c r="G61" s="644"/>
      <x:c r="H61" s="644"/>
      <x:c r="I61" s="644"/>
    </x:row>
    <x:row r="62" outlineLevel="1">
      <x:c r="A62" s="833" t="str">
        <x:v>Pre-Tax Cost of Debt</x:v>
      </x:c>
      <x:c r="B62" s="833" t="str">
        <x:v>%</x:v>
      </x:c>
      <x:c r="C62" s="1032" t="n">
        <x:v>0.065</x:v>
      </x:c>
      <x:c r="D62" s="644"/>
      <x:c r="E62" s="644"/>
      <x:c r="F62" s="644"/>
      <x:c r="G62" s="644"/>
      <x:c r="H62" s="644"/>
      <x:c r="I62" s="644"/>
    </x:row>
    <x:row r="63" outlineLevel="1">
      <x:c r="A63" s="833" t="str">
        <x:v>Debt Weight</x:v>
      </x:c>
      <x:c r="B63" s="833" t="str">
        <x:v>%</x:v>
      </x:c>
      <x:c r="C63" s="1032" t="n">
        <x:v>0.25</x:v>
      </x:c>
      <x:c r="D63" s="644"/>
      <x:c r="E63" s="644"/>
      <x:c r="F63" s="644"/>
      <x:c r="G63" s="644"/>
      <x:c r="H63" s="644"/>
      <x:c r="I63" s="644"/>
    </x:row>
    <x:row r="64" outlineLevel="1">
      <x:c r="A64" s="833" t="str">
        <x:v>Equity Weight</x:v>
      </x:c>
      <x:c r="B64" s="833" t="str">
        <x:v>%</x:v>
      </x:c>
      <x:c r="C64" s="1032" t="n">
        <x:v>0.75</x:v>
      </x:c>
      <x:c r="D64" s="644"/>
      <x:c r="E64" s="644"/>
      <x:c r="F64" s="644"/>
      <x:c r="G64" s="644"/>
      <x:c r="H64" s="644"/>
      <x:c r="I64" s="644"/>
    </x:row>
    <x:row r="65" outlineLevel="1">
      <x:c r="A65" s="833" t="str">
        <x:v>Terminal Growth Rate</x:v>
      </x:c>
      <x:c r="B65" s="833" t="str">
        <x:v>%</x:v>
      </x:c>
      <x:c r="C65" s="1032" t="n">
        <x:v>0.025</x:v>
      </x:c>
      <x:c r="D65" s="644"/>
      <x:c r="E65" s="644"/>
      <x:c r="F65" s="644"/>
      <x:c r="G65" s="644"/>
      <x:c r="H65" s="644"/>
      <x:c r="I65" s="644"/>
    </x:row>
    <x:row r="66" outlineLevel="1">
      <x:c r="A66" s="833" t="str">
        <x:v>Exit EBITDA Multiple</x:v>
      </x:c>
      <x:c r="B66" s="833" t="str">
        <x:v>x</x:v>
      </x:c>
      <x:c r="C66" s="1034" t="n">
        <x:v>7.5</x:v>
      </x:c>
      <x:c r="D66" s="644"/>
      <x:c r="E66" s="644"/>
      <x:c r="F66" s="644"/>
      <x:c r="G66" s="644"/>
      <x:c r="H66" s="644"/>
      <x:c r="I66" s="644"/>
    </x:row>
    <x:row r="67" outlineLevel="1">
      <x:c r="A67" s="833" t="str">
        <x:v>Shares Outstanding</x:v>
      </x:c>
      <x:c r="B67" s="833" t="str">
        <x:v>000s</x:v>
      </x:c>
      <x:c r="C67" s="1031" t="n">
        <x:v>10000</x:v>
      </x:c>
      <x:c r="D67" s="644"/>
      <x:c r="E67" s="644"/>
      <x:c r="F67" s="644"/>
      <x:c r="G67" s="644"/>
      <x:c r="H67" s="644"/>
      <x:c r="I67" s="644"/>
    </x:row>
    <x:row r="68" outlineLevel="1">
      <x:c r="A68" s="644"/>
      <x:c r="B68" s="644"/>
      <x:c r="C68" s="644"/>
      <x:c r="D68" s="644"/>
      <x:c r="E68" s="644"/>
      <x:c r="F68" s="644"/>
      <x:c r="G68" s="644"/>
      <x:c r="H68" s="644"/>
      <x:c r="I68" s="644"/>
    </x:row>
    <x:row r="69">
      <x:c r="A69" s="644"/>
      <x:c r="B69" s="644"/>
      <x:c r="C69" s="644"/>
      <x:c r="D69" s="644"/>
      <x:c r="E69" s="644"/>
      <x:c r="F69" s="644"/>
      <x:c r="G69" s="644"/>
      <x:c r="H69" s="644"/>
      <x:c r="I69" s="644"/>
    </x:row>
    <x:row r="70">
      <x:c r="A70" s="826" t="str">
        <x:v>Scenario Overrides</x:v>
      </x:c>
      <x:c r="B70" s="826"/>
      <x:c r="C70" s="826"/>
      <x:c r="D70" s="826"/>
      <x:c r="E70" s="644"/>
      <x:c r="F70" s="644"/>
      <x:c r="G70" s="644"/>
      <x:c r="H70" s="644"/>
      <x:c r="I70" s="644"/>
    </x:row>
    <x:row r="71" outlineLevel="1">
      <x:c r="A71" s="830" t="str">
        <x:v>Driver</x:v>
      </x:c>
      <x:c r="B71" s="830" t="str">
        <x:v>Bear</x:v>
      </x:c>
      <x:c r="C71" s="830" t="str">
        <x:v>Base</x:v>
      </x:c>
      <x:c r="D71" s="830" t="str">
        <x:v>Bull</x:v>
      </x:c>
      <x:c r="E71" s="644"/>
      <x:c r="F71" s="644"/>
      <x:c r="G71" s="644"/>
      <x:c r="H71" s="644"/>
      <x:c r="I71" s="644"/>
    </x:row>
    <x:row r="72" outlineLevel="1">
      <x:c r="A72" s="833" t="str">
        <x:v>Revenue Growth Delta</x:v>
      </x:c>
      <x:c r="B72" s="1032" t="n">
        <x:v>-0.025</x:v>
      </x:c>
      <x:c r="C72" s="1032" t="n">
        <x:v>0</x:v>
      </x:c>
      <x:c r="D72" s="1032" t="n">
        <x:v>0.025</x:v>
      </x:c>
      <x:c r="E72" s="644"/>
      <x:c r="F72" s="644"/>
      <x:c r="G72" s="644"/>
      <x:c r="H72" s="644"/>
      <x:c r="I72" s="644"/>
    </x:row>
    <x:row r="73" outlineLevel="1">
      <x:c r="A73" s="833" t="str">
        <x:v>Price Increase Delta</x:v>
      </x:c>
      <x:c r="B73" s="1032" t="n">
        <x:v>-0.015</x:v>
      </x:c>
      <x:c r="C73" s="1032" t="n">
        <x:v>0</x:v>
      </x:c>
      <x:c r="D73" s="1032" t="n">
        <x:v>0.015</x:v>
      </x:c>
      <x:c r="E73" s="644"/>
      <x:c r="F73" s="644"/>
      <x:c r="G73" s="644"/>
      <x:c r="H73" s="644"/>
      <x:c r="I73" s="644"/>
    </x:row>
    <x:row r="74" outlineLevel="1">
      <x:c r="A74" s="833" t="str">
        <x:v>COGS Margin Delta</x:v>
      </x:c>
      <x:c r="B74" s="1032" t="n">
        <x:v>-0.02</x:v>
      </x:c>
      <x:c r="C74" s="1032" t="n">
        <x:v>0</x:v>
      </x:c>
      <x:c r="D74" s="1032" t="n">
        <x:v>0.02</x:v>
      </x:c>
      <x:c r="E74" s="644"/>
      <x:c r="F74" s="644"/>
      <x:c r="G74" s="644"/>
      <x:c r="H74" s="644"/>
      <x:c r="I74" s="644"/>
    </x:row>
    <x:row r="75" outlineLevel="1">
      <x:c r="A75" s="833" t="str">
        <x:v>Terminal Growth Delta</x:v>
      </x:c>
      <x:c r="B75" s="1032" t="n">
        <x:v>-0.005</x:v>
      </x:c>
      <x:c r="C75" s="1032" t="n">
        <x:v>0</x:v>
      </x:c>
      <x:c r="D75" s="1032" t="n">
        <x:v>0.005</x:v>
      </x:c>
      <x:c r="E75" s="644"/>
      <x:c r="F75" s="644"/>
      <x:c r="G75" s="644"/>
      <x:c r="H75" s="644"/>
      <x:c r="I75" s="644"/>
    </x:row>
    <x:row r="76" outlineLevel="1">
      <x:c r="A76" s="644"/>
      <x:c r="B76" s="644"/>
      <x:c r="C76" s="644"/>
      <x:c r="D76" s="644"/>
      <x:c r="E76" s="644"/>
      <x:c r="F76" s="644"/>
      <x:c r="G76" s="644"/>
      <x:c r="H76" s="644"/>
      <x:c r="I76" s="644"/>
    </x:row>
    <x:row r="77">
      <x:c r="A77" s="644"/>
      <x:c r="B77" s="644"/>
      <x:c r="C77" s="644"/>
      <x:c r="D77" s="644"/>
      <x:c r="E77" s="644"/>
      <x:c r="F77" s="644"/>
      <x:c r="G77" s="644"/>
      <x:c r="H77" s="644"/>
      <x:c r="I77" s="644"/>
    </x:row>
    <x:row r="78">
      <x:c r="A78" s="829" t="str">
        <x:v>Financing &amp; Circularity Assumptions</x:v>
      </x:c>
      <x:c r="B78" s="829"/>
      <x:c r="C78" s="829"/>
      <x:c r="D78" s="829"/>
      <x:c r="E78" s="829"/>
      <x:c r="F78" s="829"/>
      <x:c r="G78" s="829"/>
      <x:c r="H78" s="644"/>
      <x:c r="I78" s="644"/>
    </x:row>
    <x:row r="79" outlineLevel="1">
      <x:c r="A79" s="644"/>
      <x:c r="B79" s="644"/>
      <x:c r="C79" s="644"/>
      <x:c r="D79" s="644"/>
      <x:c r="E79" s="644"/>
      <x:c r="F79" s="644"/>
      <x:c r="G79" s="644"/>
      <x:c r="H79" s="644"/>
      <x:c r="I79" s="644"/>
    </x:row>
    <x:row r="80" outlineLevel="1">
      <x:c r="A80" s="833" t="str">
        <x:v>Minimum Cash Balance</x:v>
      </x:c>
      <x:c r="B80" s="833" t="str">
        <x:v>$000</x:v>
      </x:c>
      <x:c r="C80" s="1031" t="n">
        <x:v>5000</x:v>
      </x:c>
      <x:c r="D80" s="644"/>
      <x:c r="E80" s="644"/>
      <x:c r="F80" s="644"/>
      <x:c r="G80" s="644"/>
      <x:c r="H80" s="644"/>
      <x:c r="I80" s="644"/>
    </x:row>
    <x:row r="81" outlineLevel="1">
      <x:c r="A81" s="833" t="str">
        <x:v>Maximum Revolver</x:v>
      </x:c>
      <x:c r="B81" s="833" t="str">
        <x:v>$000</x:v>
      </x:c>
      <x:c r="C81" s="1031" t="n">
        <x:v>15000</x:v>
      </x:c>
      <x:c r="D81" s="644"/>
      <x:c r="E81" s="644"/>
      <x:c r="F81" s="644"/>
      <x:c r="G81" s="644"/>
      <x:c r="H81" s="644"/>
      <x:c r="I81" s="644"/>
    </x:row>
    <x:row r="82" outlineLevel="1">
      <x:c r="A82" s="833" t="str">
        <x:v>Cash Interest Rate</x:v>
      </x:c>
      <x:c r="B82" s="833" t="str">
        <x:v>%</x:v>
      </x:c>
      <x:c r="C82" s="1032" t="n">
        <x:v>0.01</x:v>
      </x:c>
      <x:c r="D82" s="644"/>
      <x:c r="E82" s="644"/>
      <x:c r="F82" s="644"/>
      <x:c r="G82" s="644"/>
      <x:c r="H82" s="644"/>
      <x:c r="I82" s="644"/>
    </x:row>
    <x:row r="83" outlineLevel="1">
      <x:c r="A83" s="833" t="str">
        <x:v>Revolver Interest Rate</x:v>
      </x:c>
      <x:c r="B83" s="833" t="str">
        <x:v>%</x:v>
      </x:c>
      <x:c r="C83" s="1032" t="n">
        <x:v>0.05</x:v>
      </x:c>
      <x:c r="D83" s="644"/>
      <x:c r="E83" s="644"/>
      <x:c r="F83" s="644"/>
      <x:c r="G83" s="644"/>
      <x:c r="H83" s="644"/>
      <x:c r="I83" s="644"/>
    </x:row>
    <x:row r="84" outlineLevel="1">
      <x:c r="A84" s="833" t="str">
        <x:v>Circularity Switch</x:v>
      </x:c>
      <x:c r="B84" s="833" t="str">
        <x:v>0/1</x:v>
      </x:c>
      <x:c r="C84" s="1030" t="n">
        <x:v>0</x:v>
      </x:c>
      <x:c r="D84" s="644"/>
      <x:c r="E84" s="644"/>
      <x:c r="F84" s="644"/>
      <x:c r="G84" s="644"/>
      <x:c r="H84" s="644"/>
      <x:c r="I84" s="644"/>
    </x:row>
    <x:row r="85" outlineLevel="1">
      <x:c r="A85" s="833" t="str">
        <x:v>Common Equity Change / Year</x:v>
      </x:c>
      <x:c r="B85" s="833" t="str">
        <x:v>$000</x:v>
      </x:c>
      <x:c r="C85" s="1031" t="n">
        <x:v>0</x:v>
      </x:c>
      <x:c r="D85" s="644"/>
      <x:c r="E85" s="644"/>
      <x:c r="F85" s="644"/>
      <x:c r="G85" s="644"/>
      <x:c r="H85" s="644"/>
      <x:c r="I85" s="644"/>
    </x:row>
    <x:row r="86" outlineLevel="1">
      <x:c r="A86" s="833" t="str">
        <x:v>Minimum Cash Check Buffer</x:v>
      </x:c>
      <x:c r="B86" s="833" t="str">
        <x:v>$000</x:v>
      </x:c>
      <x:c r="C86" s="1031" t="n">
        <x:v>0</x:v>
      </x:c>
      <x:c r="D86" s="644"/>
      <x:c r="E86" s="644"/>
      <x:c r="F86" s="644"/>
      <x:c r="G86" s="644"/>
      <x:c r="H86" s="644"/>
      <x:c r="I86" s="644"/>
    </x:row>
    <x:row r="87" outlineLevel="1">
      <x:c r="A87" s="833" t="str">
        <x:v>Use Cash Sweep?</x:v>
      </x:c>
      <x:c r="B87" s="833" t="str">
        <x:v>0/1</x:v>
      </x:c>
      <x:c r="C87" s="1030" t="n">
        <x:v>1</x:v>
      </x:c>
      <x:c r="D87" s="644"/>
      <x:c r="E87" s="644"/>
      <x:c r="F87" s="644"/>
      <x:c r="G87" s="644"/>
      <x:c r="H87" s="644"/>
      <x:c r="I87" s="644"/>
    </x:row>
    <x:row r="88" outlineLevel="1">
      <x:c r="A88" s="833" t="str">
        <x:v>Revolver Draw Priority</x:v>
      </x:c>
      <x:c r="B88" s="833" t="str">
        <x:v>0/1</x:v>
      </x:c>
      <x:c r="C88" s="1030" t="n">
        <x:v>1</x:v>
      </x:c>
      <x:c r="D88" s="644"/>
      <x:c r="E88" s="644"/>
      <x:c r="F88" s="644"/>
      <x:c r="G88" s="644"/>
      <x:c r="H88" s="644"/>
      <x:c r="I88" s="644"/>
    </x:row>
    <x:row r="89" outlineLevel="1">
      <x:c r="A89" s="833" t="str">
        <x:v>Model Note</x:v>
      </x:c>
      <x:c r="B89" s="833" t="str">
        <x:v>Text</x:v>
      </x:c>
      <x:c r="C89" s="833" t="str">
        <x:v>Circularity switch 0 = beginning-balance interest; 1 = average-balance approximation.</x:v>
      </x:c>
      <x:c r="D89" s="644"/>
      <x:c r="E89" s="644"/>
      <x:c r="F89" s="644"/>
      <x:c r="G89" s="644"/>
      <x:c r="H89" s="644"/>
      <x:c r="I89" s="644"/>
    </x:row>
    <x:row r="91">
      <x:c r="A91" s="833" t="str">
        <x:v>Capacity &amp; Expansion Assumptions</x:v>
      </x:c>
    </x:row>
    <x:row r="92" outlineLevel="1">
      <x:c r="A92" s="833" t="str">
        <x:v>Utilisation Trigger</x:v>
      </x:c>
      <x:c r="B92" s="833" t="str">
        <x:v>%</x:v>
      </x:c>
      <x:c r="C92" s="1030" t="n">
        <x:v>0.95</x:v>
      </x:c>
    </x:row>
    <x:row r="93" outlineLevel="1">
      <x:c r="A93" s="833" t="str">
        <x:v>Expansion Block Size</x:v>
      </x:c>
      <x:c r="B93" s="833" t="str">
        <x:v>units/day</x:v>
      </x:c>
      <x:c r="C93" s="1030" t="n">
        <x:v>150</x:v>
      </x:c>
    </x:row>
    <x:row r="94" outlineLevel="1">
      <x:c r="A94" s="833" t="str">
        <x:v>Cost per Unit/Day Capacity</x:v>
      </x:c>
      <x:c r="B94" s="833" t="str">
        <x:v>$000</x:v>
      </x:c>
      <x:c r="C94" s="1030" t="n">
        <x:v>30</x:v>
      </x:c>
    </x:row>
    <x:row r="95" outlineLevel="1">
      <x:c r="A95" s="833" t="str">
        <x:v>Model Note</x:v>
      </x:c>
      <x:c r="B95" s="833" t="str">
        <x:v>Text</x:v>
      </x:c>
      <x:c r="C95" s="833" t="str">
        <x:v>Kullanim orani tetigi asarsa ertesi yil kapasite blogu devreye girer; genisleme capex nakit akisina girer.</x:v>
      </x:c>
    </x:row>
    <x:row r="97">
      <x:c r="A97" s="833" t="str">
        <x:v>Revenue Engine (Mode Switch)</x:v>
      </x:c>
    </x:row>
    <x:row r="98" outlineLevel="1">
      <x:c r="A98" s="833" t="str">
        <x:v>Revenue Engine Mode (set on Dashboard B12)</x:v>
      </x:c>
      <x:c r="B98" s="833" t="str">
        <x:v>text</x:v>
      </x:c>
      <x:c r="C98" s="834" t="str">
        <x:f>'00_Dashboard'!$B$12</x:f>
      </x:c>
    </x:row>
    <x:row r="99" outlineLevel="1">
      <x:c r="A99" s="833" t="str">
        <x:v>Driver</x:v>
      </x:c>
      <x:c r="B99" s="833" t="str">
        <x:v>Units</x:v>
      </x:c>
      <x:c r="C99" s="833" t="str">
        <x:v>2026E</x:v>
      </x:c>
      <x:c r="D99" s="833" t="str">
        <x:v>2027E</x:v>
      </x:c>
      <x:c r="E99" s="833" t="str">
        <x:v>2028E</x:v>
      </x:c>
      <x:c r="F99" s="833" t="str">
        <x:v>2029E</x:v>
      </x:c>
      <x:c r="G99" s="833" t="str">
        <x:v>2030E</x:v>
      </x:c>
    </x:row>
    <x:row r="100" outlineLevel="1">
      <x:c r="A100" s="833" t="str">
        <x:v>Revenue Growth (Growth-Margin)</x:v>
      </x:c>
      <x:c r="B100" s="833" t="str">
        <x:v>%</x:v>
      </x:c>
      <x:c r="C100" s="1030" t="n">
        <x:v>0.0703</x:v>
      </x:c>
      <x:c r="D100" s="1030" t="n">
        <x:v>0.0506</x:v>
      </x:c>
      <x:c r="E100" s="1030" t="n">
        <x:v>0.0404</x:v>
      </x:c>
      <x:c r="F100" s="1030" t="n">
        <x:v>0.0353</x:v>
      </x:c>
      <x:c r="G100" s="1030" t="n">
        <x:v>0.0302</x:v>
      </x:c>
    </x:row>
    <x:row r="101" outlineLevel="1">
      <x:c r="A101" s="833" t="str">
        <x:v>COGS Margin (Growth-Margin)</x:v>
      </x:c>
      <x:c r="B101" s="833" t="str">
        <x:v>%</x:v>
      </x:c>
      <x:c r="C101" s="1030" t="n">
        <x:v>0.5821</x:v>
      </x:c>
      <x:c r="D101" s="1030" t="n">
        <x:v>0.5838</x:v>
      </x:c>
      <x:c r="E101" s="1030" t="n">
        <x:v>0.5866</x:v>
      </x:c>
      <x:c r="F101" s="1030" t="n">
        <x:v>0.5896</x:v>
      </x:c>
      <x:c r="G101" s="1030" t="n">
        <x:v>0.5924</x:v>
      </x:c>
    </x:row>
    <x:row r="102" outlineLevel="1">
      <x:c r="A102" s="833" t="str">
        <x:v>Model Note</x:v>
      </x:c>
      <x:c r="B102" s="833" t="str">
        <x:v>Text</x:v>
      </x:c>
      <x:c r="C102" s="833" t="str">
        <x:v>Unit Economics = hacim x fiyat (ic veri gerekir). Growth-Margin = gelir buyumesi + COGS marji (halka acik raporlardan doldurulabilir). Anahtar yalnizca 02!30 ve 02!78 satirlarini besler; asagidaki tum motor ortaktir.</x:v>
      </x:c>
    </x:row>
  </x:sheetData>
  <x:mergeCells>
    <x:mergeCell ref="A1:I1"/>
    <x:mergeCell ref="A6:I6"/>
    <x:mergeCell ref="A17:I17"/>
    <x:mergeCell ref="A36:I36"/>
    <x:mergeCell ref="A58:D58"/>
    <x:mergeCell ref="A70:D70"/>
    <x:mergeCell ref="A78:G7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83" t="str">
        <x:v>Operating Model &amp; Supporting Schedules</x:v>
      </x:c>
      <x:c r="B1" s="483"/>
      <x:c r="C1" s="483"/>
      <x:c r="D1" s="483"/>
      <x:c r="E1" s="483"/>
      <x:c r="F1" s="483"/>
      <x:c r="G1" s="483"/>
      <x:c r="H1" s="483"/>
      <x:c r="I1" s="483"/>
      <x:c r="J1" s="335"/>
      <x:c r="K1" s="628"/>
      <x:c r="L1" s="628"/>
      <x:c r="M1" s="628"/>
      <x:c r="N1" s="628"/>
      <x:c r="O1" s="628"/>
      <x:c r="P1" s="628"/>
      <x:c r="Q1" s="628"/>
      <x:c r="R1" s="628"/>
      <x:c r="S1" s="628"/>
      <x:c r="X1" s="778"/>
      <x:c r="Y1" s="778"/>
      <x:c r="Z1" s="778"/>
      <x:c r="AA1" s="778"/>
      <x:c r="AB1" s="778"/>
      <x:c r="AC1" s="778"/>
      <x:c r="AD1" s="778"/>
      <x:c r="AE1" s="778"/>
      <x:c r="AF1" s="778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X2" s="778" t="str">
        <x:v>Metric</x:v>
      </x:c>
      <x:c r="Y2" s="778" t="str">
        <x:v>2023A</x:v>
      </x:c>
      <x:c r="Z2" s="778" t="str">
        <x:v>2024A</x:v>
      </x:c>
      <x:c r="AA2" s="778" t="str">
        <x:v>2025A</x:v>
      </x:c>
      <x:c r="AB2" s="778" t="str">
        <x:v>2026E</x:v>
      </x:c>
      <x:c r="AC2" s="778" t="str">
        <x:v>2027E</x:v>
      </x:c>
      <x:c r="AD2" s="778" t="str">
        <x:v>2028E</x:v>
      </x:c>
      <x:c r="AE2" s="778" t="str">
        <x:v>2029E</x:v>
      </x:c>
      <x:c r="AF2" s="778" t="str">
        <x:v>2030E</x:v>
      </x:c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X3" s="778" t="str">
        <x:v>Revenue</x:v>
      </x:c>
      <x:c r="Y3" s="1035" t="n">
        <x:f>B30</x:f>
      </x:c>
      <x:c r="Z3" s="1035" t="n">
        <x:f>C30</x:f>
      </x:c>
      <x:c r="AA3" s="1035" t="n">
        <x:f>D30</x:f>
      </x:c>
      <x:c r="AB3" s="1035" t="n">
        <x:f>E30</x:f>
      </x:c>
      <x:c r="AC3" s="1035" t="n">
        <x:f>F30</x:f>
      </x:c>
      <x:c r="AD3" s="1035" t="n">
        <x:f>G30</x:f>
      </x:c>
      <x:c r="AE3" s="1035" t="n">
        <x:f>H30</x:f>
      </x:c>
      <x:c r="AF3" s="1035" t="n">
        <x:f>I30</x:f>
      </x:c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X4" s="778" t="str">
        <x:v>COGS</x:v>
      </x:c>
      <x:c r="Y4" s="1035" t="n">
        <x:f>B78</x:f>
      </x:c>
      <x:c r="Z4" s="1035" t="n">
        <x:f>C78</x:f>
      </x:c>
      <x:c r="AA4" s="1035" t="n">
        <x:f>D78</x:f>
      </x:c>
      <x:c r="AB4" s="1035" t="n">
        <x:f>E78</x:f>
      </x:c>
      <x:c r="AC4" s="1035" t="n">
        <x:f>F78</x:f>
      </x:c>
      <x:c r="AD4" s="1035" t="n">
        <x:f>G78</x:f>
      </x:c>
      <x:c r="AE4" s="1035" t="n">
        <x:f>H78</x:f>
      </x:c>
      <x:c r="AF4" s="1035" t="n">
        <x:f>I78</x:f>
      </x:c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X5" s="778" t="str">
        <x:v>Operational Efficiency</x:v>
      </x:c>
      <x:c r="Y5" s="1035" t="n">
        <x:f>B13</x:f>
      </x:c>
      <x:c r="Z5" s="1035" t="n">
        <x:f>C13</x:f>
      </x:c>
      <x:c r="AA5" s="1035" t="n">
        <x:f>D13</x:f>
      </x:c>
      <x:c r="AB5" s="1035" t="n">
        <x:f>E13</x:f>
      </x:c>
      <x:c r="AC5" s="1035" t="n">
        <x:f>F13</x:f>
      </x:c>
      <x:c r="AD5" s="1035" t="n">
        <x:f>G13</x:f>
      </x:c>
      <x:c r="AE5" s="1035" t="n">
        <x:f>H13</x:f>
      </x:c>
      <x:c r="AF5" s="1035" t="n">
        <x:f>I13</x:f>
      </x:c>
    </x:row>
    <x:row r="6">
      <x:c r="A6" s="489" t="str">
        <x:v>Revenue Schedule</x:v>
      </x:c>
      <x:c r="B6" s="489"/>
      <x:c r="C6" s="489"/>
      <x:c r="D6" s="489"/>
      <x:c r="E6" s="490"/>
      <x:c r="F6" s="489"/>
      <x:c r="G6" s="489"/>
      <x:c r="H6" s="489"/>
      <x:c r="I6" s="489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X6" s="778"/>
      <x:c r="Y6" s="778"/>
      <x:c r="Z6" s="778"/>
      <x:c r="AA6" s="778"/>
      <x:c r="AB6" s="778"/>
      <x:c r="AC6" s="778"/>
      <x:c r="AD6" s="778"/>
      <x:c r="AE6" s="778"/>
      <x:c r="AF6" s="778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X7" s="778"/>
      <x:c r="Y7" s="778"/>
      <x:c r="Z7" s="778"/>
      <x:c r="AA7" s="778"/>
      <x:c r="AB7" s="778"/>
      <x:c r="AC7" s="778"/>
      <x:c r="AD7" s="778"/>
      <x:c r="AE7" s="778"/>
      <x:c r="AF7" s="778"/>
    </x:row>
    <x:row r="8" outlineLevel="1">
      <x:c r="A8" s="494" t="str">
        <x:v>OPERATIONS</x:v>
      </x:c>
      <x:c r="B8" s="492"/>
      <x:c r="C8" s="492"/>
      <x:c r="D8" s="492"/>
      <x:c r="E8" s="493"/>
      <x:c r="F8" s="492"/>
      <x:c r="G8" s="492"/>
      <x:c r="H8" s="492"/>
      <x:c r="I8" s="492"/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X8" s="778"/>
      <x:c r="Y8" s="778"/>
      <x:c r="Z8" s="778"/>
      <x:c r="AA8" s="778"/>
      <x:c r="AB8" s="778"/>
      <x:c r="AC8" s="778"/>
      <x:c r="AD8" s="778"/>
      <x:c r="AE8" s="778"/>
      <x:c r="AF8" s="778"/>
    </x:row>
    <x:row r="9" outlineLevel="1">
      <x:c r="A9" s="839" t="str">
        <x:v>Days in Period</x:v>
      </x:c>
      <x:c r="B9" s="1036" t="n">
        <x:v>365</x:v>
      </x:c>
      <x:c r="C9" s="1036" t="n">
        <x:v>365</x:v>
      </x:c>
      <x:c r="D9" s="1036" t="n">
        <x:v>365</x:v>
      </x:c>
      <x:c r="E9" s="1037" t="n">
        <x:f>'01_Inputs_Historicals'!C38</x:f>
      </x:c>
      <x:c r="F9" s="1038" t="n">
        <x:f>'01_Inputs_Historicals'!D38</x:f>
      </x:c>
      <x:c r="G9" s="1038" t="n">
        <x:f>'01_Inputs_Historicals'!E38</x:f>
      </x:c>
      <x:c r="H9" s="1038" t="n">
        <x:f>'01_Inputs_Historicals'!F38</x:f>
      </x:c>
      <x:c r="I9" s="1038" t="n">
        <x:f>'01_Inputs_Historicals'!G38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X9" s="778"/>
      <x:c r="Y9" s="778"/>
      <x:c r="Z9" s="778"/>
      <x:c r="AA9" s="778"/>
      <x:c r="AB9" s="778"/>
      <x:c r="AC9" s="778"/>
      <x:c r="AD9" s="778"/>
      <x:c r="AE9" s="778"/>
      <x:c r="AF9" s="778"/>
    </x:row>
    <x:row r="10" outlineLevel="1">
      <x:c r="A10" s="839" t="str">
        <x:v>Sales Volume Growth</x:v>
      </x:c>
      <x:c r="B10" s="842"/>
      <x:c r="C10" s="842"/>
      <x:c r="D10" s="842"/>
      <x:c r="E10" s="1039" t="n">
        <x:f>'01_Inputs_Historicals'!C39+IF('00_Dashboard'!$B$8="Bull",'01_Inputs_Historicals'!$D$72,IF('00_Dashboard'!$B$8="Bear",'01_Inputs_Historicals'!$B$72,0))</x:f>
      </x:c>
      <x:c r="F10" s="1040" t="n">
        <x:f>'01_Inputs_Historicals'!D39+IF('00_Dashboard'!$B$8="Bull",'01_Inputs_Historicals'!$D$72,IF('00_Dashboard'!$B$8="Bear",'01_Inputs_Historicals'!$B$72,0))</x:f>
      </x:c>
      <x:c r="G10" s="1040" t="n">
        <x:f>'01_Inputs_Historicals'!E39+IF('00_Dashboard'!$B$8="Bull",'01_Inputs_Historicals'!$D$72,IF('00_Dashboard'!$B$8="Bear",'01_Inputs_Historicals'!$B$72,0))</x:f>
      </x:c>
      <x:c r="H10" s="1040" t="n">
        <x:f>'01_Inputs_Historicals'!F39+IF('00_Dashboard'!$B$8="Bull",'01_Inputs_Historicals'!$D$72,IF('00_Dashboard'!$B$8="Bear",'01_Inputs_Historicals'!$B$72,0))</x:f>
      </x:c>
      <x:c r="I10" s="1040" t="n">
        <x:f>'01_Inputs_Historicals'!G39+IF('00_Dashboard'!$B$8="Bull",'01_Inputs_Historicals'!$D$72,IF('00_Dashboard'!$B$8="Bear",'01_Inputs_Historicals'!$B$72,0))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X10" s="778"/>
      <x:c r="Y10" s="778"/>
      <x:c r="Z10" s="778"/>
      <x:c r="AA10" s="778"/>
      <x:c r="AB10" s="778"/>
      <x:c r="AC10" s="778"/>
      <x:c r="AD10" s="778"/>
      <x:c r="AE10" s="778"/>
      <x:c r="AF10" s="778"/>
    </x:row>
    <x:row r="11" outlineLevel="1">
      <x:c r="A11" s="839" t="str">
        <x:v>Sales Volume</x:v>
      </x:c>
      <x:c r="B11" s="1041" t="n">
        <x:f>'01_Inputs_Historicals'!B7</x:f>
      </x:c>
      <x:c r="C11" s="1041" t="n">
        <x:f>'01_Inputs_Historicals'!C7</x:f>
      </x:c>
      <x:c r="D11" s="1041" t="n">
        <x:f>'01_Inputs_Historicals'!D7</x:f>
      </x:c>
      <x:c r="E11" s="1042" t="n">
        <x:f>E238</x:f>
      </x:c>
      <x:c r="F11" s="1043" t="n">
        <x:f>F238</x:f>
      </x:c>
      <x:c r="G11" s="1043" t="n">
        <x:f>G238</x:f>
      </x:c>
      <x:c r="H11" s="1043" t="n">
        <x:f>H238</x:f>
      </x:c>
      <x:c r="I11" s="1043" t="n">
        <x:f>I238</x:f>
      </x:c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</x:row>
    <x:row r="12" outlineLevel="1">
      <x:c r="A12" s="848" t="str">
        <x:v>Plant Capacity</x:v>
      </x:c>
      <x:c r="B12" s="1044" t="n">
        <x:v>1800</x:v>
      </x:c>
      <x:c r="C12" s="1044" t="n">
        <x:v>1800</x:v>
      </x:c>
      <x:c r="D12" s="1044" t="n">
        <x:v>1800</x:v>
      </x:c>
      <x:c r="E12" s="1042" t="n">
        <x:f>E236</x:f>
      </x:c>
      <x:c r="F12" s="1043" t="n">
        <x:f>F236</x:f>
      </x:c>
      <x:c r="G12" s="1043" t="n">
        <x:f>G236</x:f>
      </x:c>
      <x:c r="H12" s="1043" t="n">
        <x:f>H236</x:f>
      </x:c>
      <x:c r="I12" s="1043" t="n">
        <x:f>I236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</x:row>
    <x:row r="13" outlineLevel="1">
      <x:c r="A13" s="839" t="str">
        <x:v>Operational Efficiency</x:v>
      </x:c>
      <x:c r="B13" s="1045" t="n">
        <x:f>B11/B12</x:f>
      </x:c>
      <x:c r="C13" s="1045" t="n">
        <x:f>C11/C12</x:f>
      </x:c>
      <x:c r="D13" s="1045" t="n">
        <x:f>D11/D12</x:f>
      </x:c>
      <x:c r="E13" s="1046" t="n">
        <x:f>E11/E12</x:f>
      </x:c>
      <x:c r="F13" s="1047" t="n">
        <x:f>F11/F12</x:f>
      </x:c>
      <x:c r="G13" s="1047" t="n">
        <x:f>G11/G12</x:f>
      </x:c>
      <x:c r="H13" s="1047" t="n">
        <x:f>H11/H12</x:f>
      </x:c>
      <x:c r="I13" s="1047" t="n">
        <x:f>I11/I12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</x:row>
    <x:row r="14" outlineLevel="1">
      <x:c r="A14" s="839"/>
      <x:c r="B14" s="842"/>
      <x:c r="C14" s="842"/>
      <x:c r="D14" s="842"/>
      <x:c r="E14" s="843"/>
      <x:c r="F14" s="844"/>
      <x:c r="G14" s="844"/>
      <x:c r="H14" s="844"/>
      <x:c r="I14" s="844"/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</x:row>
    <x:row r="15" outlineLevel="1">
      <x:c r="A15" s="839"/>
      <x:c r="B15" s="840"/>
      <x:c r="C15" s="840"/>
      <x:c r="D15" s="840"/>
      <x:c r="E15" s="841"/>
      <x:c r="F15" s="839"/>
      <x:c r="G15" s="839"/>
      <x:c r="H15" s="839"/>
      <x:c r="I15" s="839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</x:row>
    <x:row r="16" outlineLevel="1">
      <x:c r="A16" s="849" t="str">
        <x:v>VOLUME</x:v>
      </x:c>
      <x:c r="B16" s="850"/>
      <x:c r="C16" s="850"/>
      <x:c r="D16" s="850"/>
      <x:c r="E16" s="851"/>
      <x:c r="F16" s="852"/>
      <x:c r="G16" s="852"/>
      <x:c r="H16" s="852"/>
      <x:c r="I16" s="852"/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</x:row>
    <x:row r="17" outlineLevel="1">
      <x:c r="A17" s="839" t="str">
        <x:v>Days in Period</x:v>
      </x:c>
      <x:c r="B17" s="1048" t="n">
        <x:f>B9</x:f>
      </x:c>
      <x:c r="C17" s="1048" t="n">
        <x:f>C9</x:f>
      </x:c>
      <x:c r="D17" s="1048" t="n">
        <x:f>D9</x:f>
      </x:c>
      <x:c r="E17" s="1042" t="n">
        <x:f>E9</x:f>
      </x:c>
      <x:c r="F17" s="1043" t="n">
        <x:f>F9</x:f>
      </x:c>
      <x:c r="G17" s="1043" t="n">
        <x:f>G9</x:f>
      </x:c>
      <x:c r="H17" s="1043" t="n">
        <x:f>H9</x:f>
      </x:c>
      <x:c r="I17" s="1043" t="n">
        <x:f>I9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</x:row>
    <x:row r="18" outlineLevel="1">
      <x:c r="A18" s="839" t="str">
        <x:v>Sales Volume (Units/Day)</x:v>
      </x:c>
      <x:c r="B18" s="1048" t="n">
        <x:f>B11</x:f>
      </x:c>
      <x:c r="C18" s="1048" t="n">
        <x:f>C11</x:f>
      </x:c>
      <x:c r="D18" s="1048" t="n">
        <x:f>D11</x:f>
      </x:c>
      <x:c r="E18" s="1042" t="n">
        <x:f>E11</x:f>
      </x:c>
      <x:c r="F18" s="1043" t="n">
        <x:f>F11</x:f>
      </x:c>
      <x:c r="G18" s="1043" t="n">
        <x:f>G11</x:f>
      </x:c>
      <x:c r="H18" s="1043" t="n">
        <x:f>H11</x:f>
      </x:c>
      <x:c r="I18" s="1043" t="n">
        <x:f>I11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</x:row>
    <x:row r="19" outlineLevel="1">
      <x:c r="A19" s="886" t="str">
        <x:v>Sales Volume (Units)</x:v>
      </x:c>
      <x:c r="B19" s="1049" t="n">
        <x:f>B17*B18</x:f>
      </x:c>
      <x:c r="C19" s="1049" t="n">
        <x:f>C17*C18</x:f>
      </x:c>
      <x:c r="D19" s="1049" t="n">
        <x:f>D17*D18</x:f>
      </x:c>
      <x:c r="E19" s="1050" t="n">
        <x:f>E17*E18</x:f>
      </x:c>
      <x:c r="F19" s="1051" t="n">
        <x:f>F17*F18</x:f>
      </x:c>
      <x:c r="G19" s="1051" t="n">
        <x:f>G17*G18</x:f>
      </x:c>
      <x:c r="H19" s="1051" t="n">
        <x:f>H17*H18</x:f>
      </x:c>
      <x:c r="I19" s="1051" t="n">
        <x:f>I17*I18</x:f>
      </x:c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</x:row>
    <x:row r="20" outlineLevel="1">
      <x:c r="A20" s="853"/>
      <x:c r="B20" s="854"/>
      <x:c r="C20" s="854"/>
      <x:c r="D20" s="854"/>
      <x:c r="E20" s="855"/>
      <x:c r="F20" s="853"/>
      <x:c r="G20" s="853"/>
      <x:c r="H20" s="853"/>
      <x:c r="I20" s="853"/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</x:row>
    <x:row r="21" outlineLevel="1">
      <x:c r="A21" s="839"/>
      <x:c r="B21" s="842"/>
      <x:c r="C21" s="842"/>
      <x:c r="D21" s="842"/>
      <x:c r="E21" s="843"/>
      <x:c r="F21" s="844"/>
      <x:c r="G21" s="844"/>
      <x:c r="H21" s="844"/>
      <x:c r="I21" s="844"/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</x:row>
    <x:row r="22" outlineLevel="1">
      <x:c r="A22" s="848" t="str">
        <x:v>PRICING</x:v>
      </x:c>
      <x:c r="B22" s="840"/>
      <x:c r="C22" s="840"/>
      <x:c r="D22" s="840"/>
      <x:c r="E22" s="841"/>
      <x:c r="F22" s="839"/>
      <x:c r="G22" s="839"/>
      <x:c r="H22" s="839"/>
      <x:c r="I22" s="839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</x:row>
    <x:row r="23" outlineLevel="1">
      <x:c r="A23" s="839" t="str">
        <x:v>Pricing Increase</x:v>
      </x:c>
      <x:c r="B23" s="842"/>
      <x:c r="C23" s="842"/>
      <x:c r="D23" s="842"/>
      <x:c r="E23" s="1039" t="n">
        <x:f>'01_Inputs_Historicals'!C41+IF('00_Dashboard'!$B$8="Bull",'01_Inputs_Historicals'!$D$73,IF('00_Dashboard'!$B$8="Bear",'01_Inputs_Historicals'!$B$73,0))</x:f>
      </x:c>
      <x:c r="F23" s="1040" t="n">
        <x:f>'01_Inputs_Historicals'!D41+IF('00_Dashboard'!$B$8="Bull",'01_Inputs_Historicals'!$D$73,IF('00_Dashboard'!$B$8="Bear",'01_Inputs_Historicals'!$B$73,0))</x:f>
      </x:c>
      <x:c r="G23" s="1040" t="n">
        <x:f>'01_Inputs_Historicals'!E41+IF('00_Dashboard'!$B$8="Bull",'01_Inputs_Historicals'!$D$73,IF('00_Dashboard'!$B$8="Bear",'01_Inputs_Historicals'!$B$73,0))</x:f>
      </x:c>
      <x:c r="H23" s="1040" t="n">
        <x:f>'01_Inputs_Historicals'!F41+IF('00_Dashboard'!$B$8="Bull",'01_Inputs_Historicals'!$D$73,IF('00_Dashboard'!$B$8="Bear",'01_Inputs_Historicals'!$B$73,0))</x:f>
      </x:c>
      <x:c r="I23" s="1040" t="n">
        <x:f>'01_Inputs_Historicals'!G41+IF('00_Dashboard'!$B$8="Bull",'01_Inputs_Historicals'!$D$73,IF('00_Dashboard'!$B$8="Bear",'01_Inputs_Historicals'!$B$73,0))</x:f>
      </x:c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</x:row>
    <x:row r="24" outlineLevel="1">
      <x:c r="A24" s="839" t="str">
        <x:v>Unit Price (USD/Unit)</x:v>
      </x:c>
      <x:c r="B24" s="1041" t="n">
        <x:f>'01_Inputs_Historicals'!B8</x:f>
      </x:c>
      <x:c r="C24" s="1041" t="n">
        <x:f>'01_Inputs_Historicals'!C8</x:f>
      </x:c>
      <x:c r="D24" s="1041" t="n">
        <x:f>'01_Inputs_Historicals'!D8</x:f>
      </x:c>
      <x:c r="E24" s="1042" t="n">
        <x:f>D24*(1+E23)</x:f>
      </x:c>
      <x:c r="F24" s="1043" t="n">
        <x:f>E24*(1+F23)</x:f>
      </x:c>
      <x:c r="G24" s="1043" t="n">
        <x:f>F24*(1+G23)</x:f>
      </x:c>
      <x:c r="H24" s="1043" t="n">
        <x:f>G24*(1+H23)</x:f>
      </x:c>
      <x:c r="I24" s="1043" t="n">
        <x:f>H24*(1+I23)</x:f>
      </x:c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</x:row>
    <x:row r="25" outlineLevel="1">
      <x:c r="A25" s="849"/>
      <x:c r="B25" s="856"/>
      <x:c r="C25" s="856"/>
      <x:c r="D25" s="856"/>
      <x:c r="E25" s="857"/>
      <x:c r="F25" s="849"/>
      <x:c r="G25" s="849"/>
      <x:c r="H25" s="849"/>
      <x:c r="I25" s="849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</x:row>
    <x:row r="26" outlineLevel="1">
      <x:c r="A26" s="839"/>
      <x:c r="B26" s="840"/>
      <x:c r="C26" s="840"/>
      <x:c r="D26" s="840"/>
      <x:c r="E26" s="841"/>
      <x:c r="F26" s="839"/>
      <x:c r="G26" s="839"/>
      <x:c r="H26" s="839"/>
      <x:c r="I26" s="839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</x:row>
    <x:row r="27" outlineLevel="1">
      <x:c r="A27" s="848" t="str">
        <x:v>REVENUE</x:v>
      </x:c>
      <x:c r="B27" s="858"/>
      <x:c r="C27" s="858"/>
      <x:c r="D27" s="858"/>
      <x:c r="E27" s="859"/>
      <x:c r="F27" s="860"/>
      <x:c r="G27" s="860"/>
      <x:c r="H27" s="860"/>
      <x:c r="I27" s="860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</x:row>
    <x:row r="28" outlineLevel="1">
      <x:c r="A28" s="839" t="str">
        <x:v>Sales Volume (Units)</x:v>
      </x:c>
      <x:c r="B28" s="1052" t="n">
        <x:f>B19</x:f>
      </x:c>
      <x:c r="C28" s="1052" t="n">
        <x:f>C19</x:f>
      </x:c>
      <x:c r="D28" s="1052" t="n">
        <x:f>D19</x:f>
      </x:c>
      <x:c r="E28" s="1053" t="n">
        <x:f>E19</x:f>
      </x:c>
      <x:c r="F28" s="1054" t="n">
        <x:f>F19</x:f>
      </x:c>
      <x:c r="G28" s="1054" t="n">
        <x:f>G19</x:f>
      </x:c>
      <x:c r="H28" s="1054" t="n">
        <x:f>H19</x:f>
      </x:c>
      <x:c r="I28" s="1054" t="n">
        <x:f>I19</x:f>
      </x:c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</x:row>
    <x:row r="29" outlineLevel="1">
      <x:c r="A29" s="839" t="str">
        <x:v>Sales Price (USD/Unit)</x:v>
      </x:c>
      <x:c r="B29" s="1052" t="n">
        <x:f>B24</x:f>
      </x:c>
      <x:c r="C29" s="1052" t="n">
        <x:f>C24</x:f>
      </x:c>
      <x:c r="D29" s="1052" t="n">
        <x:f>D24</x:f>
      </x:c>
      <x:c r="E29" s="1053" t="n">
        <x:f>E24</x:f>
      </x:c>
      <x:c r="F29" s="1054" t="n">
        <x:f>F24</x:f>
      </x:c>
      <x:c r="G29" s="1054" t="n">
        <x:f>G24</x:f>
      </x:c>
      <x:c r="H29" s="1054" t="n">
        <x:f>H24</x:f>
      </x:c>
      <x:c r="I29" s="1054" t="n">
        <x:f>I24</x:f>
      </x:c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</x:row>
    <x:row r="30" outlineLevel="1">
      <x:c r="A30" s="886" t="str">
        <x:v>Revenue</x:v>
      </x:c>
      <x:c r="B30" s="1055" t="n">
        <x:f>'01_Inputs_Historicals'!B18</x:f>
      </x:c>
      <x:c r="C30" s="1055" t="n">
        <x:f>'01_Inputs_Historicals'!C18</x:f>
      </x:c>
      <x:c r="D30" s="1055" t="n">
        <x:f>'01_Inputs_Historicals'!D18</x:f>
      </x:c>
      <x:c r="E30" s="1056" t="n">
        <x:f>IF('01_Inputs_Historicals'!$C$98="Growth-Margin",E248,E28*E29/1000)</x:f>
      </x:c>
      <x:c r="F30" s="1057" t="n">
        <x:f>IF('01_Inputs_Historicals'!$C$98="Growth-Margin",F248,F28*F29/1000)</x:f>
      </x:c>
      <x:c r="G30" s="1057" t="n">
        <x:f>IF('01_Inputs_Historicals'!$C$98="Growth-Margin",G248,G28*G29/1000)</x:f>
      </x:c>
      <x:c r="H30" s="1057" t="n">
        <x:f>IF('01_Inputs_Historicals'!$C$98="Growth-Margin",H248,H28*H29/1000)</x:f>
      </x:c>
      <x:c r="I30" s="1057" t="n">
        <x:f>IF('01_Inputs_Historicals'!$C$98="Growth-Margin",I248,I28*I29/1000)</x:f>
      </x:c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</x:row>
    <x:row r="31" outlineLevel="1">
      <x:c r="A31" s="839" t="str">
        <x:v>Revenue Growth</x:v>
      </x:c>
      <x:c r="B31" s="842"/>
      <x:c r="C31" s="1045" t="n">
        <x:f>C30/B30-1</x:f>
      </x:c>
      <x:c r="D31" s="1045" t="n">
        <x:f>D30/C30-1</x:f>
      </x:c>
      <x:c r="E31" s="1046" t="n">
        <x:f>E30/D30-1</x:f>
      </x:c>
      <x:c r="F31" s="1047" t="n">
        <x:f>F30/E30-1</x:f>
      </x:c>
      <x:c r="G31" s="1047" t="n">
        <x:f>G30/F30-1</x:f>
      </x:c>
      <x:c r="H31" s="1047" t="n">
        <x:f>H30/G30-1</x:f>
      </x:c>
      <x:c r="I31" s="1047" t="n">
        <x:f>I30/H30-1</x:f>
      </x:c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49" t="str">
        <x:v>Capacity Exceeded?</x:v>
      </x:c>
      <x:c r="B32" s="850"/>
      <x:c r="C32" s="850"/>
      <x:c r="D32" s="850"/>
      <x:c r="E32" s="851" t="str">
        <x:f>IF('01_Inputs_Historicals'!$C$98="Growth-Margin","N/A",IF(E239&gt;0,"YES","-"))</x:f>
      </x:c>
      <x:c r="F32" s="852" t="str">
        <x:f>IF('01_Inputs_Historicals'!$C$98="Growth-Margin","N/A",IF(F239&gt;0,"YES","-"))</x:f>
      </x:c>
      <x:c r="G32" s="852" t="str">
        <x:f>IF('01_Inputs_Historicals'!$C$98="Growth-Margin","N/A",IF(G239&gt;0,"YES","-"))</x:f>
      </x:c>
      <x:c r="H32" s="852" t="str">
        <x:f>IF('01_Inputs_Historicals'!$C$98="Growth-Margin","N/A",IF(H239&gt;0,"YES","-"))</x:f>
      </x:c>
      <x:c r="I32" s="852" t="str">
        <x:f>IF('01_Inputs_Historicals'!$C$98="Growth-Margin","N/A",IF(I239&gt;0,"YES","-"))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Revenue Schedule Check</x:v>
      </x:c>
      <x:c r="B33" s="840"/>
      <x:c r="C33" s="840"/>
      <x:c r="D33" s="840"/>
      <x:c r="E33" s="841" t="str">
        <x:f>IF('01_Inputs_Historicals'!$C$98="Growth-Margin","N/A",IF(AND(ABS(E30-E28*E29/1000)&lt;0.01,ABS(E11-MIN(E233,E236))&lt;0.01),"OK","CHECK"))</x:f>
      </x:c>
      <x:c r="F33" s="839" t="str">
        <x:f>IF('01_Inputs_Historicals'!$C$98="Growth-Margin","N/A",IF(AND(ABS(F30-F28*F29/1000)&lt;0.01,ABS(F11-MIN(F233,F236))&lt;0.01),"OK","CHECK"))</x:f>
      </x:c>
      <x:c r="G33" s="839" t="str">
        <x:f>IF('01_Inputs_Historicals'!$C$98="Growth-Margin","N/A",IF(AND(ABS(G30-G28*G29/1000)&lt;0.01,ABS(G11-MIN(G233,G236))&lt;0.01),"OK","CHECK"))</x:f>
      </x:c>
      <x:c r="H33" s="839" t="str">
        <x:f>IF('01_Inputs_Historicals'!$C$98="Growth-Margin","N/A",IF(AND(ABS(H30-H28*H29/1000)&lt;0.01,ABS(H11-MIN(H233,H236))&lt;0.01),"OK","CHECK"))</x:f>
      </x:c>
      <x:c r="I33" s="839" t="str">
        <x:f>IF('01_Inputs_Historicals'!$C$98="Growth-Margin","N/A",IF(AND(ABS(I30-I28*I29/1000)&lt;0.01,ABS(I11-MIN(I233,I236))&lt;0.01),"OK","CHECK"))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238"/>
      <x:c r="B34" s="238"/>
      <x:c r="C34" s="238"/>
      <x:c r="D34" s="238"/>
      <x:c r="E34" s="246"/>
      <x:c r="F34" s="238"/>
      <x:c r="G34" s="238"/>
      <x:c r="H34" s="238"/>
      <x:c r="I34" s="238"/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333"/>
      <x:c r="B35" s="333"/>
      <x:c r="C35" s="333"/>
      <x:c r="D35" s="333"/>
      <x:c r="E35" s="334"/>
      <x:c r="F35" s="333"/>
      <x:c r="G35" s="333"/>
      <x:c r="H35" s="333"/>
      <x:c r="I35" s="333"/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>
      <x:c r="A36" s="238"/>
      <x:c r="B36" s="266"/>
      <x:c r="C36" s="266"/>
      <x:c r="D36" s="266"/>
      <x:c r="E36" s="268"/>
      <x:c r="F36" s="266"/>
      <x:c r="G36" s="266"/>
      <x:c r="H36" s="266"/>
      <x:c r="I36" s="266"/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>
      <x:c r="A37" s="489" t="str">
        <x:v>Cost Schedule</x:v>
      </x:c>
      <x:c r="B37" s="518"/>
      <x:c r="C37" s="518"/>
      <x:c r="D37" s="518"/>
      <x:c r="E37" s="519"/>
      <x:c r="F37" s="518"/>
      <x:c r="G37" s="518"/>
      <x:c r="H37" s="518"/>
      <x:c r="I37" s="518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238"/>
      <x:c r="B38" s="266"/>
      <x:c r="C38" s="266"/>
      <x:c r="D38" s="266"/>
      <x:c r="E38" s="268"/>
      <x:c r="F38" s="266"/>
      <x:c r="G38" s="266"/>
      <x:c r="H38" s="266"/>
      <x:c r="I38" s="266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48" t="str">
        <x:v>Sales Volume (Units)</x:v>
      </x:c>
      <x:c r="B39" s="1052" t="n">
        <x:f>B28</x:f>
      </x:c>
      <x:c r="C39" s="1052" t="n">
        <x:f>C28</x:f>
      </x:c>
      <x:c r="D39" s="1052" t="n">
        <x:f>D28</x:f>
      </x:c>
      <x:c r="E39" s="1053" t="n">
        <x:f>E28</x:f>
      </x:c>
      <x:c r="F39" s="1054" t="n">
        <x:f>F28</x:f>
      </x:c>
      <x:c r="G39" s="1054" t="n">
        <x:f>G28</x:f>
      </x:c>
      <x:c r="H39" s="1054" t="n">
        <x:f>H28</x:f>
      </x:c>
      <x:c r="I39" s="1054" t="n">
        <x:f>I28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39" t="str">
        <x:v>Inflation</x:v>
      </x:c>
      <x:c r="B40" s="842"/>
      <x:c r="C40" s="842"/>
      <x:c r="D40" s="842"/>
      <x:c r="E40" s="1039" t="n">
        <x:f>'01_Inputs_Historicals'!C42</x:f>
      </x:c>
      <x:c r="F40" s="1040" t="n">
        <x:f>'01_Inputs_Historicals'!D42</x:f>
      </x:c>
      <x:c r="G40" s="1040" t="n">
        <x:f>'01_Inputs_Historicals'!E42</x:f>
      </x:c>
      <x:c r="H40" s="1040" t="n">
        <x:f>'01_Inputs_Historicals'!F42</x:f>
      </x:c>
      <x:c r="I40" s="1040" t="n">
        <x:f>'01_Inputs_Historicals'!G42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58"/>
      <x:c r="C41" s="858"/>
      <x:c r="D41" s="858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58"/>
      <x:c r="C42" s="858"/>
      <x:c r="D42" s="858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48" t="str">
        <x:v>VARIABLE COSTS - PER UNIT</x:v>
      </x:c>
      <x:c r="B43" s="858"/>
      <x:c r="C43" s="858"/>
      <x:c r="D43" s="858"/>
      <x:c r="E43" s="859"/>
      <x:c r="F43" s="860"/>
      <x:c r="G43" s="860"/>
      <x:c r="H43" s="860"/>
      <x:c r="I43" s="860"/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49" t="str">
        <x:v>Materials</x:v>
      </x:c>
      <x:c r="B44" s="1058" t="n">
        <x:f>'01_Inputs_Historicals'!B9</x:f>
      </x:c>
      <x:c r="C44" s="1058" t="n">
        <x:f>'01_Inputs_Historicals'!C9</x:f>
      </x:c>
      <x:c r="D44" s="1058" t="n">
        <x:f>'01_Inputs_Historicals'!D9</x:f>
      </x:c>
      <x:c r="E44" s="1059" t="n">
        <x:f>D44*(1+E40)</x:f>
      </x:c>
      <x:c r="F44" s="1060" t="n">
        <x:f>E44*(1+F40)</x:f>
      </x:c>
      <x:c r="G44" s="1060" t="n">
        <x:f>F44*(1+G40)</x:f>
      </x:c>
      <x:c r="H44" s="1060" t="n">
        <x:f>G44*(1+H40)</x:f>
      </x:c>
      <x:c r="I44" s="1060" t="n">
        <x:f>H44*(1+I40)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49" t="str">
        <x:v>Packaging</x:v>
      </x:c>
      <x:c r="B45" s="1058" t="n">
        <x:f>'01_Inputs_Historicals'!B10</x:f>
      </x:c>
      <x:c r="C45" s="1058" t="n">
        <x:f>'01_Inputs_Historicals'!C10</x:f>
      </x:c>
      <x:c r="D45" s="1058" t="n">
        <x:f>'01_Inputs_Historicals'!D10</x:f>
      </x:c>
      <x:c r="E45" s="1059" t="n">
        <x:f>D45*(1+E40)</x:f>
      </x:c>
      <x:c r="F45" s="1060" t="n">
        <x:f>E45*(1+F40)</x:f>
      </x:c>
      <x:c r="G45" s="1060" t="n">
        <x:f>F45*(1+G40)</x:f>
      </x:c>
      <x:c r="H45" s="1060" t="n">
        <x:f>G45*(1+H40)</x:f>
      </x:c>
      <x:c r="I45" s="1060" t="n">
        <x:f>H45*(1+I40)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39" t="str">
        <x:v>Transportation</x:v>
      </x:c>
      <x:c r="B46" s="1041" t="n">
        <x:f>'01_Inputs_Historicals'!B11</x:f>
      </x:c>
      <x:c r="C46" s="1041" t="n">
        <x:f>'01_Inputs_Historicals'!C11</x:f>
      </x:c>
      <x:c r="D46" s="1041" t="n">
        <x:f>'01_Inputs_Historicals'!D11</x:f>
      </x:c>
      <x:c r="E46" s="1042" t="n">
        <x:f>D46*(1+E40)</x:f>
      </x:c>
      <x:c r="F46" s="1043" t="n">
        <x:f>E46*(1+F40)</x:f>
      </x:c>
      <x:c r="G46" s="1043" t="n">
        <x:f>F46*(1+G40)</x:f>
      </x:c>
      <x:c r="H46" s="1043" t="n">
        <x:f>G46*(1+H40)</x:f>
      </x:c>
      <x:c r="I46" s="1043" t="n">
        <x:f>H46*(1+I40)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86" t="str">
        <x:v>Variable Cost / Unit</x:v>
      </x:c>
      <x:c r="B47" s="1061" t="n">
        <x:f>SUM(B44:B46)</x:f>
      </x:c>
      <x:c r="C47" s="1061" t="n">
        <x:f>SUM(C44:C46)</x:f>
      </x:c>
      <x:c r="D47" s="1061" t="n">
        <x:f>SUM(D44:D46)</x:f>
      </x:c>
      <x:c r="E47" s="1062" t="n">
        <x:f>SUM(E44:E46)</x:f>
      </x:c>
      <x:c r="F47" s="1063" t="n">
        <x:f>SUM(F44:F46)</x:f>
      </x:c>
      <x:c r="G47" s="1063" t="n">
        <x:f>SUM(G44:G46)</x:f>
      </x:c>
      <x:c r="H47" s="1063" t="n">
        <x:f>SUM(H44:H46)</x:f>
      </x:c>
      <x:c r="I47" s="1063" t="n">
        <x:f>SUM(I44:I46)</x:f>
      </x:c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53"/>
      <x:c r="B48" s="854"/>
      <x:c r="C48" s="854"/>
      <x:c r="D48" s="854"/>
      <x:c r="E48" s="855"/>
      <x:c r="F48" s="853"/>
      <x:c r="G48" s="853"/>
      <x:c r="H48" s="853"/>
      <x:c r="I48" s="853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39"/>
      <x:c r="B49" s="858"/>
      <x:c r="C49" s="858"/>
      <x:c r="D49" s="858"/>
      <x:c r="E49" s="859"/>
      <x:c r="F49" s="860"/>
      <x:c r="G49" s="860"/>
      <x:c r="H49" s="860"/>
      <x:c r="I49" s="860"/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48" t="str">
        <x:v>VARIABLE COSTS - TOTAL</x:v>
      </x:c>
      <x:c r="B50" s="858"/>
      <x:c r="C50" s="858"/>
      <x:c r="D50" s="858"/>
      <x:c r="E50" s="859"/>
      <x:c r="F50" s="860"/>
      <x:c r="G50" s="860"/>
      <x:c r="H50" s="860"/>
      <x:c r="I50" s="860"/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39" t="str">
        <x:v>Materials</x:v>
      </x:c>
      <x:c r="B51" s="1052" t="n">
        <x:f>B44*B39/1000</x:f>
      </x:c>
      <x:c r="C51" s="1052" t="n">
        <x:f>C44*C39/1000</x:f>
      </x:c>
      <x:c r="D51" s="1052" t="n">
        <x:f>D44*D39/1000</x:f>
      </x:c>
      <x:c r="E51" s="1053" t="n">
        <x:f>E44*E39/1000</x:f>
      </x:c>
      <x:c r="F51" s="1054" t="n">
        <x:f>F44*F39/1000</x:f>
      </x:c>
      <x:c r="G51" s="1054" t="n">
        <x:f>G44*G39/1000</x:f>
      </x:c>
      <x:c r="H51" s="1054" t="n">
        <x:f>H44*H39/1000</x:f>
      </x:c>
      <x:c r="I51" s="1054" t="n">
        <x:f>I44*I39/1000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49" t="str">
        <x:v>Packaging</x:v>
      </x:c>
      <x:c r="B52" s="1064" t="n">
        <x:f>B45*B39/1000</x:f>
      </x:c>
      <x:c r="C52" s="1064" t="n">
        <x:f>C45*C39/1000</x:f>
      </x:c>
      <x:c r="D52" s="1064" t="n">
        <x:f>D45*D39/1000</x:f>
      </x:c>
      <x:c r="E52" s="1065" t="n">
        <x:f>E45*E39/1000</x:f>
      </x:c>
      <x:c r="F52" s="1066" t="n">
        <x:f>F45*F39/1000</x:f>
      </x:c>
      <x:c r="G52" s="1066" t="n">
        <x:f>G45*G39/1000</x:f>
      </x:c>
      <x:c r="H52" s="1066" t="n">
        <x:f>H45*H39/1000</x:f>
      </x:c>
      <x:c r="I52" s="1066" t="n">
        <x:f>I45*I39/1000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848" t="str">
        <x:v>Transportation</x:v>
      </x:c>
      <x:c r="B53" s="1052" t="n">
        <x:f>B46*B39/1000</x:f>
      </x:c>
      <x:c r="C53" s="1052" t="n">
        <x:f>C46*C39/1000</x:f>
      </x:c>
      <x:c r="D53" s="1052" t="n">
        <x:f>D46*D39/1000</x:f>
      </x:c>
      <x:c r="E53" s="1053" t="n">
        <x:f>E46*E39/1000</x:f>
      </x:c>
      <x:c r="F53" s="1054" t="n">
        <x:f>F46*F39/1000</x:f>
      </x:c>
      <x:c r="G53" s="1054" t="n">
        <x:f>G46*G39/1000</x:f>
      </x:c>
      <x:c r="H53" s="1054" t="n">
        <x:f>H46*H39/1000</x:f>
      </x:c>
      <x:c r="I53" s="1054" t="n">
        <x:f>I46*I39/1000</x:f>
      </x:c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 outlineLevel="1">
      <x:c r="A54" s="886" t="str">
        <x:v>Variable Costs</x:v>
      </x:c>
      <x:c r="B54" s="1049" t="n">
        <x:f>SUM(B51:B53)</x:f>
      </x:c>
      <x:c r="C54" s="1049" t="n">
        <x:f>SUM(C51:C53)</x:f>
      </x:c>
      <x:c r="D54" s="1049" t="n">
        <x:f>SUM(D51:D53)</x:f>
      </x:c>
      <x:c r="E54" s="1050" t="n">
        <x:f>SUM(E51:E53)</x:f>
      </x:c>
      <x:c r="F54" s="1051" t="n">
        <x:f>SUM(F51:F53)</x:f>
      </x:c>
      <x:c r="G54" s="1051" t="n">
        <x:f>SUM(G51:G53)</x:f>
      </x:c>
      <x:c r="H54" s="1051" t="n">
        <x:f>SUM(H51:H53)</x:f>
      </x:c>
      <x:c r="I54" s="1051" t="n">
        <x:f>SUM(I51:I53)</x:f>
      </x:c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 outlineLevel="1">
      <x:c r="A55" s="839"/>
      <x:c r="B55" s="858"/>
      <x:c r="C55" s="858"/>
      <x:c r="D55" s="858"/>
      <x:c r="E55" s="859"/>
      <x:c r="F55" s="860"/>
      <x:c r="G55" s="860"/>
      <x:c r="H55" s="860"/>
      <x:c r="I55" s="860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/>
      <x:c r="B56" s="840"/>
      <x:c r="C56" s="840"/>
      <x:c r="D56" s="840"/>
      <x:c r="E56" s="841"/>
      <x:c r="F56" s="839"/>
      <x:c r="G56" s="839"/>
      <x:c r="H56" s="839"/>
      <x:c r="I56" s="839"/>
      <x:c r="J56" s="335"/>
      <x:c r="K56" s="335"/>
      <x:c r="L56" s="335"/>
      <x:c r="M56" s="335"/>
      <x:c r="N56" s="335"/>
      <x:c r="O56" s="335"/>
      <x:c r="P56" s="335"/>
      <x:c r="Q56" s="335"/>
      <x:c r="R56" s="335"/>
      <x:c r="S56" s="335"/>
    </x:row>
    <x:row r="57" outlineLevel="1">
      <x:c r="A57" s="848" t="str">
        <x:v>FIXED COSTS - PER UNIT</x:v>
      </x:c>
      <x:c r="B57" s="840"/>
      <x:c r="C57" s="840"/>
      <x:c r="D57" s="840"/>
      <x:c r="E57" s="841"/>
      <x:c r="F57" s="839"/>
      <x:c r="G57" s="839"/>
      <x:c r="H57" s="839"/>
      <x:c r="I57" s="839"/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53" t="str">
        <x:v>Labour</x:v>
      </x:c>
      <x:c r="B58" s="1067" t="n">
        <x:f>'01_Inputs_Historicals'!B12*1000/B39</x:f>
      </x:c>
      <x:c r="C58" s="1067" t="n">
        <x:f>'01_Inputs_Historicals'!C12*1000/C39</x:f>
      </x:c>
      <x:c r="D58" s="1067" t="n">
        <x:f>'01_Inputs_Historicals'!D12*1000/D39</x:f>
      </x:c>
      <x:c r="E58" s="1068" t="n">
        <x:f>D58*(1+E40)</x:f>
      </x:c>
      <x:c r="F58" s="1069" t="n">
        <x:f>E58*(1+F40)</x:f>
      </x:c>
      <x:c r="G58" s="1069" t="n">
        <x:f>F58*(1+G40)</x:f>
      </x:c>
      <x:c r="H58" s="1069" t="n">
        <x:f>G58*(1+H40)</x:f>
      </x:c>
      <x:c r="I58" s="1069" t="n">
        <x:f>H58*(1+I40)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Utilities</x:v>
      </x:c>
      <x:c r="B59" s="1041" t="n">
        <x:f>'01_Inputs_Historicals'!B13*1000/B39</x:f>
      </x:c>
      <x:c r="C59" s="1041" t="n">
        <x:f>'01_Inputs_Historicals'!C13*1000/C39</x:f>
      </x:c>
      <x:c r="D59" s="1041" t="n">
        <x:f>'01_Inputs_Historicals'!D13*1000/D39</x:f>
      </x:c>
      <x:c r="E59" s="1042" t="n">
        <x:f>D59*(1+E40)</x:f>
      </x:c>
      <x:c r="F59" s="1043" t="n">
        <x:f>E59*(1+F40)</x:f>
      </x:c>
      <x:c r="G59" s="1043" t="n">
        <x:f>F59*(1+G40)</x:f>
      </x:c>
      <x:c r="H59" s="1043" t="n">
        <x:f>G59*(1+H40)</x:f>
      </x:c>
      <x:c r="I59" s="1043" t="n">
        <x:f>H59*(1+I40)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Insurance</x:v>
      </x:c>
      <x:c r="B60" s="1041" t="n">
        <x:f>'01_Inputs_Historicals'!B14*1000/B39</x:f>
      </x:c>
      <x:c r="C60" s="1041" t="n">
        <x:f>'01_Inputs_Historicals'!C14*1000/C39</x:f>
      </x:c>
      <x:c r="D60" s="1041" t="n">
        <x:f>'01_Inputs_Historicals'!D14*1000/D39</x:f>
      </x:c>
      <x:c r="E60" s="1042" t="n">
        <x:f>D60*(1+E40)</x:f>
      </x:c>
      <x:c r="F60" s="1043" t="n">
        <x:f>E60*(1+F40)</x:f>
      </x:c>
      <x:c r="G60" s="1043" t="n">
        <x:f>F60*(1+G40)</x:f>
      </x:c>
      <x:c r="H60" s="1043" t="n">
        <x:f>G60*(1+H40)</x:f>
      </x:c>
      <x:c r="I60" s="1043" t="n">
        <x:f>H60*(1+I40)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Fixed Cost / Unit</x:v>
      </x:c>
      <x:c r="B61" s="1061" t="n">
        <x:f>SUM(B58:B60)</x:f>
      </x:c>
      <x:c r="C61" s="1061" t="n">
        <x:f>SUM(C58:C60)</x:f>
      </x:c>
      <x:c r="D61" s="1061" t="n">
        <x:f>SUM(D58:D60)</x:f>
      </x:c>
      <x:c r="E61" s="1062" t="n">
        <x:f>SUM(E58:E60)</x:f>
      </x:c>
      <x:c r="F61" s="1063" t="n">
        <x:f>SUM(F58:F60)</x:f>
      </x:c>
      <x:c r="G61" s="1063" t="n">
        <x:f>SUM(G58:G60)</x:f>
      </x:c>
      <x:c r="H61" s="1063" t="n">
        <x:f>SUM(H58:H60)</x:f>
      </x:c>
      <x:c r="I61" s="1063" t="n">
        <x:f>SUM(I58:I60)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49"/>
      <x:c r="B62" s="850"/>
      <x:c r="C62" s="850"/>
      <x:c r="D62" s="850"/>
      <x:c r="E62" s="851"/>
      <x:c r="F62" s="852"/>
      <x:c r="G62" s="852"/>
      <x:c r="H62" s="852"/>
      <x:c r="I62" s="852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48"/>
      <x:c r="B63" s="858"/>
      <x:c r="C63" s="858"/>
      <x:c r="D63" s="858"/>
      <x:c r="E63" s="859"/>
      <x:c r="F63" s="860"/>
      <x:c r="G63" s="860"/>
      <x:c r="H63" s="860"/>
      <x:c r="I63" s="860"/>
      <x:c r="J63" s="335"/>
      <x:c r="K63" s="335"/>
      <x:c r="L63" s="335"/>
      <x:c r="M63" s="335"/>
      <x:c r="N63" s="335"/>
      <x:c r="O63" s="335"/>
      <x:c r="P63" s="335"/>
      <x:c r="Q63" s="335"/>
      <x:c r="R63" s="335"/>
      <x:c r="S63" s="335"/>
    </x:row>
    <x:row r="64" outlineLevel="1">
      <x:c r="A64" s="849" t="str">
        <x:v>FIXED COSTS - TOTAL</x:v>
      </x:c>
      <x:c r="B64" s="850"/>
      <x:c r="C64" s="850"/>
      <x:c r="D64" s="850"/>
      <x:c r="E64" s="851"/>
      <x:c r="F64" s="852"/>
      <x:c r="G64" s="852"/>
      <x:c r="H64" s="852"/>
      <x:c r="I64" s="852"/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Labour</x:v>
      </x:c>
      <x:c r="B65" s="1070" t="n">
        <x:f>'01_Inputs_Historicals'!B12</x:f>
      </x:c>
      <x:c r="C65" s="1070" t="n">
        <x:f>'01_Inputs_Historicals'!C12</x:f>
      </x:c>
      <x:c r="D65" s="1070" t="n">
        <x:f>'01_Inputs_Historicals'!D12</x:f>
      </x:c>
      <x:c r="E65" s="1053" t="n">
        <x:f>E58*E39/1000</x:f>
      </x:c>
      <x:c r="F65" s="1054" t="n">
        <x:f>F58*F39/1000</x:f>
      </x:c>
      <x:c r="G65" s="1054" t="n">
        <x:f>G58*G39/1000</x:f>
      </x:c>
      <x:c r="H65" s="1054" t="n">
        <x:f>H58*H39/1000</x:f>
      </x:c>
      <x:c r="I65" s="1054" t="n">
        <x:f>I58*I39/1000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Utilities</x:v>
      </x:c>
      <x:c r="B66" s="1070" t="n">
        <x:f>'01_Inputs_Historicals'!B13</x:f>
      </x:c>
      <x:c r="C66" s="1070" t="n">
        <x:f>'01_Inputs_Historicals'!C13</x:f>
      </x:c>
      <x:c r="D66" s="1070" t="n">
        <x:f>'01_Inputs_Historicals'!D13</x:f>
      </x:c>
      <x:c r="E66" s="1053" t="n">
        <x:f>E59*E39/1000</x:f>
      </x:c>
      <x:c r="F66" s="1054" t="n">
        <x:f>F59*F39/1000</x:f>
      </x:c>
      <x:c r="G66" s="1054" t="n">
        <x:f>G59*G39/1000</x:f>
      </x:c>
      <x:c r="H66" s="1054" t="n">
        <x:f>H59*H39/1000</x:f>
      </x:c>
      <x:c r="I66" s="1054" t="n">
        <x:f>I59*I39/1000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53" t="str">
        <x:v>Insurance</x:v>
      </x:c>
      <x:c r="B67" s="1071" t="n">
        <x:f>'01_Inputs_Historicals'!B14</x:f>
      </x:c>
      <x:c r="C67" s="1071" t="n">
        <x:f>'01_Inputs_Historicals'!C14</x:f>
      </x:c>
      <x:c r="D67" s="1071" t="n">
        <x:f>'01_Inputs_Historicals'!D14</x:f>
      </x:c>
      <x:c r="E67" s="1072" t="n">
        <x:f>E60*E39/1000</x:f>
      </x:c>
      <x:c r="F67" s="1073" t="n">
        <x:f>F60*F39/1000</x:f>
      </x:c>
      <x:c r="G67" s="1073" t="n">
        <x:f>G60*G39/1000</x:f>
      </x:c>
      <x:c r="H67" s="1073" t="n">
        <x:f>H60*H39/1000</x:f>
      </x:c>
      <x:c r="I67" s="1073" t="n">
        <x:f>I60*I39/1000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86" t="str">
        <x:v>Fixed Costs</x:v>
      </x:c>
      <x:c r="B68" s="1049" t="n">
        <x:f>SUM(B65:B67)</x:f>
      </x:c>
      <x:c r="C68" s="1049" t="n">
        <x:f>SUM(C65:C67)</x:f>
      </x:c>
      <x:c r="D68" s="1049" t="n">
        <x:f>SUM(D65:D67)</x:f>
      </x:c>
      <x:c r="E68" s="1050" t="n">
        <x:f>SUM(E65:E67)</x:f>
      </x:c>
      <x:c r="F68" s="1051" t="n">
        <x:f>SUM(F65:F67)</x:f>
      </x:c>
      <x:c r="G68" s="1051" t="n">
        <x:f>SUM(G65:G67)</x:f>
      </x:c>
      <x:c r="H68" s="1051" t="n">
        <x:f>SUM(H65:H67)</x:f>
      </x:c>
      <x:c r="I68" s="1051" t="n">
        <x:f>SUM(I65:I67)</x:f>
      </x:c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/>
      <x:c r="B69" s="858"/>
      <x:c r="C69" s="858"/>
      <x:c r="D69" s="858"/>
      <x:c r="E69" s="859"/>
      <x:c r="F69" s="860"/>
      <x:c r="G69" s="860"/>
      <x:c r="H69" s="860"/>
      <x:c r="I69" s="860"/>
      <x:c r="J69" s="335"/>
      <x:c r="K69" s="335"/>
      <x:c r="L69" s="335"/>
      <x:c r="M69" s="335"/>
      <x:c r="N69" s="335"/>
      <x:c r="O69" s="335"/>
      <x:c r="P69" s="335"/>
      <x:c r="Q69" s="335"/>
      <x:c r="R69" s="335"/>
      <x:c r="S69" s="335"/>
    </x:row>
    <x:row r="70" outlineLevel="1">
      <x:c r="A70" s="839"/>
      <x:c r="B70" s="858"/>
      <x:c r="C70" s="858"/>
      <x:c r="D70" s="858"/>
      <x:c r="E70" s="859"/>
      <x:c r="F70" s="860"/>
      <x:c r="G70" s="860"/>
      <x:c r="H70" s="860"/>
      <x:c r="I70" s="860"/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48" t="str">
        <x:v>COST SUMMARY</x:v>
      </x:c>
      <x:c r="B71" s="858"/>
      <x:c r="C71" s="858"/>
      <x:c r="D71" s="858"/>
      <x:c r="E71" s="859"/>
      <x:c r="F71" s="860"/>
      <x:c r="G71" s="860"/>
      <x:c r="H71" s="860"/>
      <x:c r="I71" s="860"/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48" t="str">
        <x:v>Variable Costs / Unit</x:v>
      </x:c>
      <x:c r="B72" s="1048" t="n">
        <x:f>B47</x:f>
      </x:c>
      <x:c r="C72" s="1048" t="n">
        <x:f>C47</x:f>
      </x:c>
      <x:c r="D72" s="1048" t="n">
        <x:f>D47</x:f>
      </x:c>
      <x:c r="E72" s="1042" t="n">
        <x:f>E47</x:f>
      </x:c>
      <x:c r="F72" s="1043" t="n">
        <x:f>F47</x:f>
      </x:c>
      <x:c r="G72" s="1043" t="n">
        <x:f>G47</x:f>
      </x:c>
      <x:c r="H72" s="1043" t="n">
        <x:f>H47</x:f>
      </x:c>
      <x:c r="I72" s="1043" t="n">
        <x:f>I47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 t="str">
        <x:v>Fixed Costs / Unit</x:v>
      </x:c>
      <x:c r="B73" s="1048" t="n">
        <x:f>B61</x:f>
      </x:c>
      <x:c r="C73" s="1048" t="n">
        <x:f>C61</x:f>
      </x:c>
      <x:c r="D73" s="1048" t="n">
        <x:f>D61</x:f>
      </x:c>
      <x:c r="E73" s="1042" t="n">
        <x:f>E61</x:f>
      </x:c>
      <x:c r="F73" s="1043" t="n">
        <x:f>F61</x:f>
      </x:c>
      <x:c r="G73" s="1043" t="n">
        <x:f>G61</x:f>
      </x:c>
      <x:c r="H73" s="1043" t="n">
        <x:f>H61</x:f>
      </x:c>
      <x:c r="I73" s="1043" t="n">
        <x:f>I61</x:f>
      </x:c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Costs / Unit</x:v>
      </x:c>
      <x:c r="B74" s="1061" t="n">
        <x:f>B72+B73</x:f>
      </x:c>
      <x:c r="C74" s="1061" t="n">
        <x:f>C72+C73</x:f>
      </x:c>
      <x:c r="D74" s="1061" t="n">
        <x:f>D72+D73</x:f>
      </x:c>
      <x:c r="E74" s="1062" t="n">
        <x:f>E72+E73</x:f>
      </x:c>
      <x:c r="F74" s="1063" t="n">
        <x:f>F72+F73</x:f>
      </x:c>
      <x:c r="G74" s="1063" t="n">
        <x:f>G72+G73</x:f>
      </x:c>
      <x:c r="H74" s="1063" t="n">
        <x:f>H72+H73</x:f>
      </x:c>
      <x:c r="I74" s="1063" t="n">
        <x:f>I72+I73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49"/>
      <x:c r="B75" s="850"/>
      <x:c r="C75" s="850"/>
      <x:c r="D75" s="850"/>
      <x:c r="E75" s="851"/>
      <x:c r="F75" s="852"/>
      <x:c r="G75" s="852"/>
      <x:c r="H75" s="852"/>
      <x:c r="I75" s="852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Variable Costs</x:v>
      </x:c>
      <x:c r="B76" s="1064" t="n">
        <x:f>B54</x:f>
      </x:c>
      <x:c r="C76" s="1064" t="n">
        <x:f>C54</x:f>
      </x:c>
      <x:c r="D76" s="1064" t="n">
        <x:f>D54</x:f>
      </x:c>
      <x:c r="E76" s="1065" t="n">
        <x:f>E54</x:f>
      </x:c>
      <x:c r="F76" s="1066" t="n">
        <x:f>F54</x:f>
      </x:c>
      <x:c r="G76" s="1066" t="n">
        <x:f>G54</x:f>
      </x:c>
      <x:c r="H76" s="1066" t="n">
        <x:f>H54</x:f>
      </x:c>
      <x:c r="I76" s="1066" t="n">
        <x:f>I54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49" t="str">
        <x:v>Fixed Costs</x:v>
      </x:c>
      <x:c r="B77" s="1064" t="n">
        <x:f>B68</x:f>
      </x:c>
      <x:c r="C77" s="1064" t="n">
        <x:f>C68</x:f>
      </x:c>
      <x:c r="D77" s="1064" t="n">
        <x:f>D68</x:f>
      </x:c>
      <x:c r="E77" s="1065" t="n">
        <x:f>E68</x:f>
      </x:c>
      <x:c r="F77" s="1066" t="n">
        <x:f>F68</x:f>
      </x:c>
      <x:c r="G77" s="1066" t="n">
        <x:f>G68</x:f>
      </x:c>
      <x:c r="H77" s="1066" t="n">
        <x:f>H68</x:f>
      </x:c>
      <x:c r="I77" s="1066" t="n">
        <x:f>I68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86" t="str">
        <x:v>Total COGS</x:v>
      </x:c>
      <x:c r="B78" s="1049" t="n">
        <x:f>B76+B77</x:f>
      </x:c>
      <x:c r="C78" s="1049" t="n">
        <x:f>C76+C77</x:f>
      </x:c>
      <x:c r="D78" s="1049" t="n">
        <x:f>D76+D77</x:f>
      </x:c>
      <x:c r="E78" s="1056" t="n">
        <x:f>IF('01_Inputs_Historicals'!$C$98="Growth-Margin",E249,(E76+E77)*(1-IF('00_Dashboard'!$B$8="Bull",'01_Inputs_Historicals'!$D$74,IF('00_Dashboard'!$B$8="Bear",'01_Inputs_Historicals'!$B$74,0))))</x:f>
      </x:c>
      <x:c r="F78" s="1057" t="n">
        <x:f>IF('01_Inputs_Historicals'!$C$98="Growth-Margin",F249,(F76+F77)*(1-IF('00_Dashboard'!$B$8="Bull",'01_Inputs_Historicals'!$D$74,IF('00_Dashboard'!$B$8="Bear",'01_Inputs_Historicals'!$B$74,0))))</x:f>
      </x:c>
      <x:c r="G78" s="1057" t="n">
        <x:f>IF('01_Inputs_Historicals'!$C$98="Growth-Margin",G249,(G76+G77)*(1-IF('00_Dashboard'!$B$8="Bull",'01_Inputs_Historicals'!$D$74,IF('00_Dashboard'!$B$8="Bear",'01_Inputs_Historicals'!$B$74,0))))</x:f>
      </x:c>
      <x:c r="H78" s="1057" t="n">
        <x:f>IF('01_Inputs_Historicals'!$C$98="Growth-Margin",H249,(H76+H77)*(1-IF('00_Dashboard'!$B$8="Bull",'01_Inputs_Historicals'!$D$74,IF('00_Dashboard'!$B$8="Bear",'01_Inputs_Historicals'!$B$74,0))))</x:f>
      </x:c>
      <x:c r="I78" s="1057" t="n">
        <x:f>IF('01_Inputs_Historicals'!$C$98="Growth-Margin",I249,(I76+I77)*(1-IF('00_Dashboard'!$B$8="Bull",'01_Inputs_Historicals'!$D$74,IF('00_Dashboard'!$B$8="Bear",'01_Inputs_Historicals'!$B$74,0))))</x:f>
      </x:c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39" t="str">
        <x:v>Cost Schedule Check</x:v>
      </x:c>
      <x:c r="B79" s="840"/>
      <x:c r="C79" s="840"/>
      <x:c r="D79" s="840"/>
      <x:c r="E79" s="841" t="str">
        <x:f>IF('01_Inputs_Historicals'!$C$98="Growth-Margin",IF(ABS(E78-E248*'01_Inputs_Historicals'!C101*(1-IF('00_Dashboard'!$B$8="Bull",'01_Inputs_Historicals'!$D$74,IF('00_Dashboard'!$B$8="Bear",'01_Inputs_Historicals'!$B$74,0))))&lt;0.01,"OK","CHECK"),IF(ABS(E78-(E54+E68)*(1-IF('00_Dashboard'!$B$8="Bull",'01_Inputs_Historicals'!$D$74,IF('00_Dashboard'!$B$8="Bear",'01_Inputs_Historicals'!$B$74,0))))&lt;0.01,"OK","CHECK"))</x:f>
      </x:c>
      <x:c r="F79" s="839" t="str">
        <x:f>IF('01_Inputs_Historicals'!$C$98="Growth-Margin",IF(ABS(F78-F248*'01_Inputs_Historicals'!D101*(1-IF('00_Dashboard'!$B$8="Bull",'01_Inputs_Historicals'!$D$74,IF('00_Dashboard'!$B$8="Bear",'01_Inputs_Historicals'!$B$74,0))))&lt;0.01,"OK","CHECK"),IF(ABS(F78-(F54+F68)*(1-IF('00_Dashboard'!$B$8="Bull",'01_Inputs_Historicals'!$D$74,IF('00_Dashboard'!$B$8="Bear",'01_Inputs_Historicals'!$B$74,0))))&lt;0.01,"OK","CHECK"))</x:f>
      </x:c>
      <x:c r="G79" s="839" t="str">
        <x:f>IF('01_Inputs_Historicals'!$C$98="Growth-Margin",IF(ABS(G78-G248*'01_Inputs_Historicals'!E101*(1-IF('00_Dashboard'!$B$8="Bull",'01_Inputs_Historicals'!$D$74,IF('00_Dashboard'!$B$8="Bear",'01_Inputs_Historicals'!$B$74,0))))&lt;0.01,"OK","CHECK"),IF(ABS(G78-(G54+G68)*(1-IF('00_Dashboard'!$B$8="Bull",'01_Inputs_Historicals'!$D$74,IF('00_Dashboard'!$B$8="Bear",'01_Inputs_Historicals'!$B$74,0))))&lt;0.01,"OK","CHECK"))</x:f>
      </x:c>
      <x:c r="H79" s="839" t="str">
        <x:f>IF('01_Inputs_Historicals'!$C$98="Growth-Margin",IF(ABS(H78-H248*'01_Inputs_Historicals'!F101*(1-IF('00_Dashboard'!$B$8="Bull",'01_Inputs_Historicals'!$D$74,IF('00_Dashboard'!$B$8="Bear",'01_Inputs_Historicals'!$B$74,0))))&lt;0.01,"OK","CHECK"),IF(ABS(H78-(H54+H68)*(1-IF('00_Dashboard'!$B$8="Bull",'01_Inputs_Historicals'!$D$74,IF('00_Dashboard'!$B$8="Bear",'01_Inputs_Historicals'!$B$74,0))))&lt;0.01,"OK","CHECK"))</x:f>
      </x:c>
      <x:c r="I79" s="839" t="str">
        <x:f>IF('01_Inputs_Historicals'!$C$98="Growth-Margin",IF(ABS(I78-I248*'01_Inputs_Historicals'!G101*(1-IF('00_Dashboard'!$B$8="Bull",'01_Inputs_Historicals'!$D$74,IF('00_Dashboard'!$B$8="Bear",'01_Inputs_Historicals'!$B$74,0))))&lt;0.01,"OK","CHECK"),IF(ABS(I78-(I54+I68)*(1-IF('00_Dashboard'!$B$8="Bull",'01_Inputs_Historicals'!$D$74,IF('00_Dashboard'!$B$8="Bear",'01_Inputs_Historicals'!$B$74,0))))&lt;0.01,"OK","CHECK")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69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 outlineLevel="1">
      <x:c r="A81" s="238"/>
      <x:c r="B81" s="238"/>
      <x:c r="C81" s="238"/>
      <x:c r="D81" s="238"/>
      <x:c r="E81" s="246"/>
      <x:c r="F81" s="238"/>
      <x:c r="G81" s="238"/>
      <x:c r="H81" s="238"/>
      <x:c r="I81" s="238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3"/>
      <x:c r="B82" s="333"/>
      <x:c r="C82" s="333"/>
      <x:c r="D82" s="333"/>
      <x:c r="E82" s="334"/>
      <x:c r="F82" s="333"/>
      <x:c r="G82" s="333"/>
      <x:c r="H82" s="333"/>
      <x:c r="I82" s="333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489" t="str">
        <x:v>Working Capital Schedule</x:v>
      </x:c>
      <x:c r="B83" s="489"/>
      <x:c r="C83" s="489"/>
      <x:c r="D83" s="489"/>
      <x:c r="E83" s="490"/>
      <x:c r="F83" s="489"/>
      <x:c r="G83" s="489"/>
      <x:c r="H83" s="489"/>
      <x:c r="I83" s="489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231"/>
      <x:c r="B84" s="292"/>
      <x:c r="C84" s="292"/>
      <x:c r="D84" s="292"/>
      <x:c r="E84" s="484"/>
      <x:c r="F84" s="292"/>
      <x:c r="G84" s="292"/>
      <x:c r="H84" s="292"/>
      <x:c r="I84" s="292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839" t="str">
        <x:v>Days in Period</x:v>
      </x:c>
      <x:c r="B85" s="1074" t="n">
        <x:v>365</x:v>
      </x:c>
      <x:c r="C85" s="1074" t="n">
        <x:v>365</x:v>
      </x:c>
      <x:c r="D85" s="1074" t="n">
        <x:v>365</x:v>
      </x:c>
      <x:c r="E85" s="1075" t="n">
        <x:v>365</x:v>
      </x:c>
      <x:c r="F85" s="1076" t="n">
        <x:v>365</x:v>
      </x:c>
      <x:c r="G85" s="1076" t="n">
        <x:v>365</x:v>
      </x:c>
      <x:c r="H85" s="1076" t="n">
        <x:v>365</x:v>
      </x:c>
      <x:c r="I85" s="1076" t="n">
        <x:v>365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839" t="str">
        <x:v>Revenue</x:v>
      </x:c>
      <x:c r="B86" s="1052" t="n">
        <x:f>B30</x:f>
      </x:c>
      <x:c r="C86" s="1052" t="n">
        <x:f>C30</x:f>
      </x:c>
      <x:c r="D86" s="1052" t="n">
        <x:f>D30</x:f>
      </x:c>
      <x:c r="E86" s="1053" t="n">
        <x:f>E30</x:f>
      </x:c>
      <x:c r="F86" s="1054" t="n">
        <x:f>F30</x:f>
      </x:c>
      <x:c r="G86" s="1054" t="n">
        <x:f>G30</x:f>
      </x:c>
      <x:c r="H86" s="1054" t="n">
        <x:f>H30</x:f>
      </x:c>
      <x:c r="I86" s="1054" t="n">
        <x:f>I30</x:f>
      </x:c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839" t="str">
        <x:v>COGS</x:v>
      </x:c>
      <x:c r="B87" s="1052" t="n">
        <x:f>B78</x:f>
      </x:c>
      <x:c r="C87" s="1052" t="n">
        <x:f>C78</x:f>
      </x:c>
      <x:c r="D87" s="1052" t="n">
        <x:f>D78</x:f>
      </x:c>
      <x:c r="E87" s="1053" t="n">
        <x:f>E78</x:f>
      </x:c>
      <x:c r="F87" s="1054" t="n">
        <x:f>F78</x:f>
      </x:c>
      <x:c r="G87" s="1054" t="n">
        <x:f>G78</x:f>
      </x:c>
      <x:c r="H87" s="1054" t="n">
        <x:f>H78</x:f>
      </x:c>
      <x:c r="I87" s="1054" t="n">
        <x:f>I78</x:f>
      </x:c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39"/>
      <x:c r="B88" s="840"/>
      <x:c r="C88" s="845"/>
      <x:c r="D88" s="840"/>
      <x:c r="E88" s="841"/>
      <x:c r="F88" s="839"/>
      <x:c r="G88" s="839"/>
      <x:c r="H88" s="839"/>
      <x:c r="I88" s="839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39"/>
      <x:c r="B89" s="840"/>
      <x:c r="C89" s="840"/>
      <x:c r="D89" s="840"/>
      <x:c r="E89" s="841"/>
      <x:c r="F89" s="839"/>
      <x:c r="G89" s="839"/>
      <x:c r="H89" s="839"/>
      <x:c r="I89" s="839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848" t="str">
        <x:v>AMOUNTS PER DAY</x:v>
      </x:c>
      <x:c r="B90" s="840"/>
      <x:c r="C90" s="840"/>
      <x:c r="D90" s="840"/>
      <x:c r="E90" s="841"/>
      <x:c r="F90" s="839"/>
      <x:c r="G90" s="839"/>
      <x:c r="H90" s="839"/>
      <x:c r="I90" s="839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39" t="str">
        <x:v>Accounts Receivable (Days)</x:v>
      </x:c>
      <x:c r="B91" s="1041" t="n">
        <x:f>'01_Inputs_Historicals'!B25/B86*365</x:f>
      </x:c>
      <x:c r="C91" s="1041" t="n">
        <x:f>'01_Inputs_Historicals'!C25/C86*365</x:f>
      </x:c>
      <x:c r="D91" s="1041" t="n">
        <x:f>'01_Inputs_Historicals'!D25/D86*365</x:f>
      </x:c>
      <x:c r="E91" s="1077" t="n">
        <x:f>'01_Inputs_Historicals'!C45</x:f>
      </x:c>
      <x:c r="F91" s="1078" t="n">
        <x:f>'01_Inputs_Historicals'!D45</x:f>
      </x:c>
      <x:c r="G91" s="1078" t="n">
        <x:f>'01_Inputs_Historicals'!E45</x:f>
      </x:c>
      <x:c r="H91" s="1078" t="n">
        <x:f>'01_Inputs_Historicals'!F45</x:f>
      </x:c>
      <x:c r="I91" s="1078" t="n">
        <x:f>'01_Inputs_Historicals'!G45</x:f>
      </x:c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39" t="str">
        <x:v>Inventory (Days)</x:v>
      </x:c>
      <x:c r="B92" s="1041" t="n">
        <x:f>'01_Inputs_Historicals'!B26/B87*365</x:f>
      </x:c>
      <x:c r="C92" s="1041" t="n">
        <x:f>'01_Inputs_Historicals'!C26/C87*365</x:f>
      </x:c>
      <x:c r="D92" s="1041" t="n">
        <x:f>'01_Inputs_Historicals'!D26/D87*365</x:f>
      </x:c>
      <x:c r="E92" s="1077" t="n">
        <x:f>'01_Inputs_Historicals'!C46</x:f>
      </x:c>
      <x:c r="F92" s="1078" t="n">
        <x:f>'01_Inputs_Historicals'!D46</x:f>
      </x:c>
      <x:c r="G92" s="1078" t="n">
        <x:f>'01_Inputs_Historicals'!E46</x:f>
      </x:c>
      <x:c r="H92" s="1078" t="n">
        <x:f>'01_Inputs_Historicals'!F46</x:f>
      </x:c>
      <x:c r="I92" s="1078" t="n">
        <x:f>'01_Inputs_Historicals'!G46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39" t="str">
        <x:v>Accounts Payable (Days)</x:v>
      </x:c>
      <x:c r="B93" s="1041" t="n">
        <x:f>'01_Inputs_Historicals'!B28/B87*365</x:f>
      </x:c>
      <x:c r="C93" s="1041" t="n">
        <x:f>'01_Inputs_Historicals'!C28/C87*365</x:f>
      </x:c>
      <x:c r="D93" s="1041" t="n">
        <x:f>'01_Inputs_Historicals'!D28/D87*365</x:f>
      </x:c>
      <x:c r="E93" s="1077" t="n">
        <x:f>'01_Inputs_Historicals'!C47</x:f>
      </x:c>
      <x:c r="F93" s="1078" t="n">
        <x:f>'01_Inputs_Historicals'!D47</x:f>
      </x:c>
      <x:c r="G93" s="1078" t="n">
        <x:f>'01_Inputs_Historicals'!E47</x:f>
      </x:c>
      <x:c r="H93" s="1078" t="n">
        <x:f>'01_Inputs_Historicals'!F47</x:f>
      </x:c>
      <x:c r="I93" s="1078" t="n">
        <x:f>'01_Inputs_Historicals'!G47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39"/>
      <x:c r="B94" s="858"/>
      <x:c r="C94" s="840"/>
      <x:c r="D94" s="840"/>
      <x:c r="E94" s="841"/>
      <x:c r="F94" s="839"/>
      <x:c r="G94" s="839"/>
      <x:c r="H94" s="839"/>
      <x:c r="I94" s="839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839"/>
      <x:c r="B95" s="858"/>
      <x:c r="C95" s="840"/>
      <x:c r="D95" s="840"/>
      <x:c r="E95" s="841"/>
      <x:c r="F95" s="839"/>
      <x:c r="G95" s="839"/>
      <x:c r="H95" s="839"/>
      <x:c r="I95" s="839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848" t="str">
        <x:v>TOTAL AMOUNTS</x:v>
      </x:c>
      <x:c r="B96" s="840"/>
      <x:c r="C96" s="840"/>
      <x:c r="D96" s="840"/>
      <x:c r="E96" s="841"/>
      <x:c r="F96" s="839"/>
      <x:c r="G96" s="839"/>
      <x:c r="H96" s="839"/>
      <x:c r="I96" s="839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839" t="str">
        <x:v>Accounts Receivable</x:v>
      </x:c>
      <x:c r="B97" s="1070" t="n">
        <x:f>'01_Inputs_Historicals'!B25</x:f>
      </x:c>
      <x:c r="C97" s="1070" t="n">
        <x:f>'01_Inputs_Historicals'!C25</x:f>
      </x:c>
      <x:c r="D97" s="1070" t="n">
        <x:f>'01_Inputs_Historicals'!D25</x:f>
      </x:c>
      <x:c r="E97" s="1053" t="n">
        <x:f>E86/365*E91</x:f>
      </x:c>
      <x:c r="F97" s="1054" t="n">
        <x:f>F86/365*F91</x:f>
      </x:c>
      <x:c r="G97" s="1054" t="n">
        <x:f>G86/365*G91</x:f>
      </x:c>
      <x:c r="H97" s="1054" t="n">
        <x:f>H86/365*H91</x:f>
      </x:c>
      <x:c r="I97" s="1054" t="n">
        <x:f>I86/365*I91</x:f>
      </x:c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39" t="str">
        <x:v>Inventory</x:v>
      </x:c>
      <x:c r="B98" s="1070" t="n">
        <x:f>'01_Inputs_Historicals'!B26</x:f>
      </x:c>
      <x:c r="C98" s="1070" t="n">
        <x:f>'01_Inputs_Historicals'!C26</x:f>
      </x:c>
      <x:c r="D98" s="1070" t="n">
        <x:f>'01_Inputs_Historicals'!D26</x:f>
      </x:c>
      <x:c r="E98" s="1053" t="n">
        <x:f>E87/365*E92</x:f>
      </x:c>
      <x:c r="F98" s="1054" t="n">
        <x:f>F87/365*F92</x:f>
      </x:c>
      <x:c r="G98" s="1054" t="n">
        <x:f>G87/365*G92</x:f>
      </x:c>
      <x:c r="H98" s="1054" t="n">
        <x:f>H87/365*H92</x:f>
      </x:c>
      <x:c r="I98" s="1054" t="n">
        <x:f>I87/365*I92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39" t="str">
        <x:v>Accounts Payable</x:v>
      </x:c>
      <x:c r="B99" s="1070" t="n">
        <x:f>'01_Inputs_Historicals'!B28</x:f>
      </x:c>
      <x:c r="C99" s="1070" t="n">
        <x:f>'01_Inputs_Historicals'!C28</x:f>
      </x:c>
      <x:c r="D99" s="1070" t="n">
        <x:f>'01_Inputs_Historicals'!D28</x:f>
      </x:c>
      <x:c r="E99" s="1053" t="n">
        <x:f>E87/365*E93</x:f>
      </x:c>
      <x:c r="F99" s="1054" t="n">
        <x:f>F87/365*F93</x:f>
      </x:c>
      <x:c r="G99" s="1054" t="n">
        <x:f>G87/365*G93</x:f>
      </x:c>
      <x:c r="H99" s="1054" t="n">
        <x:f>H87/365*H93</x:f>
      </x:c>
      <x:c r="I99" s="1054" t="n">
        <x:f>I87/365*I93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839"/>
      <x:c r="B100" s="858"/>
      <x:c r="C100" s="858"/>
      <x:c r="D100" s="858"/>
      <x:c r="E100" s="859"/>
      <x:c r="F100" s="860"/>
      <x:c r="G100" s="860"/>
      <x:c r="H100" s="860"/>
      <x:c r="I100" s="860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39" t="str">
        <x:v>Current Assets</x:v>
      </x:c>
      <x:c r="B101" s="1052" t="n">
        <x:f>B97+B98</x:f>
      </x:c>
      <x:c r="C101" s="1052" t="n">
        <x:f>C97+C98</x:f>
      </x:c>
      <x:c r="D101" s="1052" t="n">
        <x:f>D97+D98</x:f>
      </x:c>
      <x:c r="E101" s="1053" t="n">
        <x:f>E97+E98</x:f>
      </x:c>
      <x:c r="F101" s="1054" t="n">
        <x:f>F97+F98</x:f>
      </x:c>
      <x:c r="G101" s="1054" t="n">
        <x:f>G97+G98</x:f>
      </x:c>
      <x:c r="H101" s="1054" t="n">
        <x:f>H97+H98</x:f>
      </x:c>
      <x:c r="I101" s="1054" t="n">
        <x:f>I97+I98</x:f>
      </x:c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39" t="str">
        <x:v>Current Liabilities</x:v>
      </x:c>
      <x:c r="B102" s="1052" t="n">
        <x:f>B99</x:f>
      </x:c>
      <x:c r="C102" s="1052" t="n">
        <x:f>C99</x:f>
      </x:c>
      <x:c r="D102" s="1052" t="n">
        <x:f>D99</x:f>
      </x:c>
      <x:c r="E102" s="1053" t="n">
        <x:f>E99</x:f>
      </x:c>
      <x:c r="F102" s="1054" t="n">
        <x:f>F99</x:f>
      </x:c>
      <x:c r="G102" s="1054" t="n">
        <x:f>G99</x:f>
      </x:c>
      <x:c r="H102" s="1054" t="n">
        <x:f>H99</x:f>
      </x:c>
      <x:c r="I102" s="1054" t="n">
        <x:f>I99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86" t="str">
        <x:v>Net Working Capital</x:v>
      </x:c>
      <x:c r="B103" s="1049" t="n">
        <x:f>B101-B102</x:f>
      </x:c>
      <x:c r="C103" s="1049" t="n">
        <x:f>C101-C102</x:f>
      </x:c>
      <x:c r="D103" s="1049" t="n">
        <x:f>D101-D102</x:f>
      </x:c>
      <x:c r="E103" s="1050" t="n">
        <x:f>E101-E102</x:f>
      </x:c>
      <x:c r="F103" s="1051" t="n">
        <x:f>F101-F102</x:f>
      </x:c>
      <x:c r="G103" s="1051" t="n">
        <x:f>G101-G102</x:f>
      </x:c>
      <x:c r="H103" s="1051" t="n">
        <x:f>H101-H102</x:f>
      </x:c>
      <x:c r="I103" s="1051" t="n">
        <x:f>I101-I102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39"/>
      <x:c r="B104" s="858"/>
      <x:c r="C104" s="858"/>
      <x:c r="D104" s="858"/>
      <x:c r="E104" s="859"/>
      <x:c r="F104" s="860"/>
      <x:c r="G104" s="860"/>
      <x:c r="H104" s="860"/>
      <x:c r="I104" s="860"/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839" t="str">
        <x:v>Cash from Working Capital Items</x:v>
      </x:c>
      <x:c r="B105" s="858"/>
      <x:c r="C105" s="1052" t="n">
        <x:f>-(C103-B103)</x:f>
      </x:c>
      <x:c r="D105" s="1052" t="n">
        <x:f>-(D103-C103)</x:f>
      </x:c>
      <x:c r="E105" s="1053" t="n">
        <x:f>-(E103-D103)</x:f>
      </x:c>
      <x:c r="F105" s="1054" t="n">
        <x:f>-(F103-E103)</x:f>
      </x:c>
      <x:c r="G105" s="1054" t="n">
        <x:f>-(G103-F103)</x:f>
      </x:c>
      <x:c r="H105" s="1054" t="n">
        <x:f>-(H103-G103)</x:f>
      </x:c>
      <x:c r="I105" s="1054" t="n">
        <x:f>-(I103-H103)</x:f>
      </x:c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 outlineLevel="1">
      <x:c r="A106" s="849" t="str">
        <x:v>Working Capital Check</x:v>
      </x:c>
      <x:c r="B106" s="856"/>
      <x:c r="C106" s="856"/>
      <x:c r="D106" s="856"/>
      <x:c r="E106" s="851" t="str">
        <x:f>IF(ABS(E103-(E97+E98-E99))&lt;0.01,"OK","CHECK")</x:f>
      </x:c>
      <x:c r="F106" s="852" t="str">
        <x:f>IF(ABS(F103-(F97+F98-F99))&lt;0.01,"OK","CHECK")</x:f>
      </x:c>
      <x:c r="G106" s="852" t="str">
        <x:f>IF(ABS(G103-(G97+G98-G99))&lt;0.01,"OK","CHECK")</x:f>
      </x:c>
      <x:c r="H106" s="852" t="str">
        <x:f>IF(ABS(H103-(H97+H98-H99))&lt;0.01,"OK","CHECK")</x:f>
      </x:c>
      <x:c r="I106" s="852" t="str">
        <x:f>IF(ABS(I103-(I97+I98-I99))&lt;0.01,"OK","CHECK")</x:f>
      </x:c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 outlineLevel="1">
      <x:c r="A107" s="231"/>
      <x:c r="B107" s="231"/>
      <x:c r="C107" s="231"/>
      <x:c r="D107" s="231"/>
      <x:c r="E107" s="246"/>
      <x:c r="F107" s="231"/>
      <x:c r="G107" s="231"/>
      <x:c r="H107" s="231"/>
      <x:c r="I107" s="231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 outlineLevel="1">
      <x:c r="A108" s="231"/>
      <x:c r="B108" s="231"/>
      <x:c r="C108" s="231"/>
      <x:c r="D108" s="231"/>
      <x:c r="E108" s="246"/>
      <x:c r="F108" s="231"/>
      <x:c r="G108" s="231"/>
      <x:c r="H108" s="231"/>
      <x:c r="I108" s="231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>
      <x:c r="A109" s="231"/>
      <x:c r="B109" s="231"/>
      <x:c r="C109" s="231"/>
      <x:c r="D109" s="231"/>
      <x:c r="E109" s="246"/>
      <x:c r="F109" s="231"/>
      <x:c r="G109" s="231"/>
      <x:c r="H109" s="231"/>
      <x:c r="I109" s="231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>
      <x:c r="A110" s="489" t="str">
        <x:v>Depreciation Schedule</x:v>
      </x:c>
      <x:c r="B110" s="489"/>
      <x:c r="C110" s="489"/>
      <x:c r="D110" s="489"/>
      <x:c r="E110" s="573"/>
      <x:c r="F110" s="574"/>
      <x:c r="G110" s="574"/>
      <x:c r="H110" s="574"/>
      <x:c r="I110" s="574"/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231"/>
      <x:c r="B111" s="231"/>
      <x:c r="C111" s="231"/>
      <x:c r="D111" s="231"/>
      <x:c r="E111" s="246"/>
      <x:c r="F111" s="231"/>
      <x:c r="G111" s="231"/>
      <x:c r="H111" s="231"/>
      <x:c r="I111" s="231"/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39" t="str">
        <x:v>Capital Expenditure</x:v>
      </x:c>
      <x:c r="B112" s="848"/>
      <x:c r="C112" s="848"/>
      <x:c r="D112" s="848"/>
      <x:c r="E112" s="1079" t="n">
        <x:f>E243</x:f>
      </x:c>
      <x:c r="F112" s="1080" t="n">
        <x:f>F243</x:f>
      </x:c>
      <x:c r="G112" s="1080" t="n">
        <x:f>G243</x:f>
      </x:c>
      <x:c r="H112" s="1080" t="n">
        <x:f>H243</x:f>
      </x:c>
      <x:c r="I112" s="1080" t="n">
        <x:f>I243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39"/>
      <x:c r="B113" s="839"/>
      <x:c r="C113" s="839"/>
      <x:c r="D113" s="839"/>
      <x:c r="E113" s="841"/>
      <x:c r="F113" s="839"/>
      <x:c r="G113" s="839"/>
      <x:c r="H113" s="839"/>
      <x:c r="I113" s="839"/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39"/>
      <x:c r="B114" s="839"/>
      <x:c r="C114" s="839"/>
      <x:c r="D114" s="839"/>
      <x:c r="E114" s="843"/>
      <x:c r="F114" s="844"/>
      <x:c r="G114" s="844"/>
      <x:c r="H114" s="844"/>
      <x:c r="I114" s="844"/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48" t="str">
        <x:v>EXISTING ASSET DEPRECIATION</x:v>
      </x:c>
      <x:c r="B115" s="839"/>
      <x:c r="C115" s="839"/>
      <x:c r="D115" s="839"/>
      <x:c r="E115" s="843"/>
      <x:c r="F115" s="844"/>
      <x:c r="G115" s="844"/>
      <x:c r="H115" s="844"/>
      <x:c r="I115" s="844"/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39" t="str">
        <x:v>Useful Life: Existing Assets</x:v>
      </x:c>
      <x:c r="B116" s="839" t="str">
        <x:v>Years</x:v>
      </x:c>
      <x:c r="C116" s="1078" t="n">
        <x:f>'01_Inputs_Historicals'!C49</x:f>
      </x:c>
      <x:c r="D116" s="839"/>
      <x:c r="E116" s="841"/>
      <x:c r="F116" s="839"/>
      <x:c r="G116" s="839"/>
      <x:c r="H116" s="839"/>
      <x:c r="I116" s="839"/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39" t="str">
        <x:v>PP&amp;E at End of 2025A</x:v>
      </x:c>
      <x:c r="B117" s="839" t="str">
        <x:v>$000</x:v>
      </x:c>
      <x:c r="C117" s="1081" t="n">
        <x:f>'01_Inputs_Historicals'!D27</x:f>
      </x:c>
      <x:c r="D117" s="860"/>
      <x:c r="E117" s="859"/>
      <x:c r="F117" s="860"/>
      <x:c r="G117" s="860"/>
      <x:c r="H117" s="860"/>
      <x:c r="I117" s="860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39" t="str">
        <x:v>Annual Existing Asset Depreciation</x:v>
      </x:c>
      <x:c r="B118" s="839" t="str">
        <x:v>$000</x:v>
      </x:c>
      <x:c r="C118" s="1054" t="n">
        <x:f>-C117/C116</x:f>
      </x:c>
      <x:c r="D118" s="860"/>
      <x:c r="E118" s="859"/>
      <x:c r="F118" s="860"/>
      <x:c r="G118" s="860"/>
      <x:c r="H118" s="860"/>
      <x:c r="I118" s="860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39"/>
      <x:c r="B119" s="839"/>
      <x:c r="C119" s="839"/>
      <x:c r="D119" s="860"/>
      <x:c r="E119" s="859"/>
      <x:c r="F119" s="860"/>
      <x:c r="G119" s="860"/>
      <x:c r="H119" s="860"/>
      <x:c r="I119" s="860"/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49"/>
      <x:c r="B120" s="849"/>
      <x:c r="C120" s="849"/>
      <x:c r="D120" s="852"/>
      <x:c r="E120" s="851"/>
      <x:c r="F120" s="852"/>
      <x:c r="G120" s="852"/>
      <x:c r="H120" s="852"/>
      <x:c r="I120" s="852"/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48" t="str">
        <x:v>NEW ASSET DEPRECIATION</x:v>
      </x:c>
      <x:c r="B121" s="839"/>
      <x:c r="C121" s="839"/>
      <x:c r="D121" s="839"/>
      <x:c r="E121" s="841"/>
      <x:c r="F121" s="839"/>
      <x:c r="G121" s="839"/>
      <x:c r="H121" s="839"/>
      <x:c r="I121" s="839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39" t="str">
        <x:v>Useful Life: New Assets</x:v>
      </x:c>
      <x:c r="B122" s="839" t="str">
        <x:v>Years</x:v>
      </x:c>
      <x:c r="C122" s="1078" t="n">
        <x:f>'01_Inputs_Historicals'!C50</x:f>
      </x:c>
      <x:c r="D122" s="839"/>
      <x:c r="E122" s="841"/>
      <x:c r="F122" s="839"/>
      <x:c r="G122" s="839"/>
      <x:c r="H122" s="839"/>
      <x:c r="I122" s="839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39" t="str">
        <x:v>First Year Accounting Depreciation</x:v>
      </x:c>
      <x:c r="B123" s="839" t="str">
        <x:v>%</x:v>
      </x:c>
      <x:c r="C123" s="1040" t="n">
        <x:f>'01_Inputs_Historicals'!C51</x:f>
      </x:c>
      <x:c r="D123" s="839"/>
      <x:c r="E123" s="841"/>
      <x:c r="F123" s="839"/>
      <x:c r="G123" s="839"/>
      <x:c r="H123" s="839"/>
      <x:c r="I123" s="839"/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39"/>
      <x:c r="B124" s="839"/>
      <x:c r="C124" s="839"/>
      <x:c r="D124" s="839"/>
      <x:c r="E124" s="841"/>
      <x:c r="F124" s="839"/>
      <x:c r="G124" s="839"/>
      <x:c r="H124" s="839"/>
      <x:c r="I124" s="839"/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39"/>
      <x:c r="B125" s="839"/>
      <x:c r="C125" s="839"/>
      <x:c r="D125" s="839"/>
      <x:c r="E125" s="841"/>
      <x:c r="F125" s="839"/>
      <x:c r="G125" s="839"/>
      <x:c r="H125" s="839"/>
      <x:c r="I125" s="839"/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39" t="str">
        <x:v>Vintage</x:v>
      </x:c>
      <x:c r="B126" s="839" t="str">
        <x:v>2026E</x:v>
      </x:c>
      <x:c r="C126" s="839" t="str">
        <x:v>2027E</x:v>
      </x:c>
      <x:c r="D126" s="839" t="str">
        <x:v>2028E</x:v>
      </x:c>
      <x:c r="E126" s="841" t="str">
        <x:v>2029E</x:v>
      </x:c>
      <x:c r="F126" s="839" t="str">
        <x:v>2030E</x:v>
      </x:c>
      <x:c r="G126" s="839"/>
      <x:c r="H126" s="839"/>
      <x:c r="I126" s="839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39" t="str">
        <x:v>2026E</x:v>
      </x:c>
      <x:c r="B127" s="1082" t="n">
        <x:v>0.5</x:v>
      </x:c>
      <x:c r="C127" s="1082" t="n">
        <x:v>1</x:v>
      </x:c>
      <x:c r="D127" s="1082" t="n">
        <x:v>1</x:v>
      </x:c>
      <x:c r="E127" s="1083" t="n">
        <x:v>1</x:v>
      </x:c>
      <x:c r="F127" s="1082" t="n">
        <x:v>1</x:v>
      </x:c>
      <x:c r="G127" s="839"/>
      <x:c r="H127" s="839"/>
      <x:c r="I127" s="839"/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39" t="str">
        <x:v>2027E</x:v>
      </x:c>
      <x:c r="B128" s="1082" t="n">
        <x:v>0</x:v>
      </x:c>
      <x:c r="C128" s="1082" t="n">
        <x:v>0.5</x:v>
      </x:c>
      <x:c r="D128" s="1082" t="n">
        <x:v>1</x:v>
      </x:c>
      <x:c r="E128" s="1083" t="n">
        <x:v>1</x:v>
      </x:c>
      <x:c r="F128" s="1082" t="n">
        <x:v>1</x:v>
      </x:c>
      <x:c r="G128" s="839"/>
      <x:c r="H128" s="839"/>
      <x:c r="I128" s="839"/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39" t="str">
        <x:v>2028E</x:v>
      </x:c>
      <x:c r="B129" s="1082" t="n">
        <x:v>0</x:v>
      </x:c>
      <x:c r="C129" s="1082" t="n">
        <x:v>0</x:v>
      </x:c>
      <x:c r="D129" s="1082" t="n">
        <x:v>0.5</x:v>
      </x:c>
      <x:c r="E129" s="1083" t="n">
        <x:v>1</x:v>
      </x:c>
      <x:c r="F129" s="1082" t="n">
        <x:v>1</x:v>
      </x:c>
      <x:c r="G129" s="839"/>
      <x:c r="H129" s="839"/>
      <x:c r="I129" s="839"/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39" t="str">
        <x:v>2029E</x:v>
      </x:c>
      <x:c r="B130" s="1082" t="n">
        <x:v>0</x:v>
      </x:c>
      <x:c r="C130" s="1082" t="n">
        <x:v>0</x:v>
      </x:c>
      <x:c r="D130" s="1082" t="n">
        <x:v>0</x:v>
      </x:c>
      <x:c r="E130" s="1083" t="n">
        <x:v>0.5</x:v>
      </x:c>
      <x:c r="F130" s="1082" t="n">
        <x:v>1</x:v>
      </x:c>
      <x:c r="G130" s="839"/>
      <x:c r="H130" s="839"/>
      <x:c r="I130" s="839"/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39" t="str">
        <x:v>2030E</x:v>
      </x:c>
      <x:c r="B131" s="1082" t="n">
        <x:v>0</x:v>
      </x:c>
      <x:c r="C131" s="1082" t="n">
        <x:v>0</x:v>
      </x:c>
      <x:c r="D131" s="1082" t="n">
        <x:v>0</x:v>
      </x:c>
      <x:c r="E131" s="1083" t="n">
        <x:v>0</x:v>
      </x:c>
      <x:c r="F131" s="1082" t="n">
        <x:v>0.5</x:v>
      </x:c>
      <x:c r="G131" s="839"/>
      <x:c r="H131" s="839"/>
      <x:c r="I131" s="839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39"/>
      <x:c r="B132" s="839"/>
      <x:c r="C132" s="839"/>
      <x:c r="D132" s="839"/>
      <x:c r="E132" s="841"/>
      <x:c r="F132" s="839"/>
      <x:c r="G132" s="839"/>
      <x:c r="H132" s="839"/>
      <x:c r="I132" s="839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39"/>
      <x:c r="B133" s="839"/>
      <x:c r="C133" s="839"/>
      <x:c r="D133" s="839"/>
      <x:c r="E133" s="841"/>
      <x:c r="F133" s="839"/>
      <x:c r="G133" s="839"/>
      <x:c r="H133" s="839"/>
      <x:c r="I133" s="839"/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39" t="str">
        <x:v>Vintage</x:v>
      </x:c>
      <x:c r="B134" s="839" t="str">
        <x:v>Capex</x:v>
      </x:c>
      <x:c r="C134" s="839" t="str">
        <x:v>Per Year</x:v>
      </x:c>
      <x:c r="D134" s="839" t="str">
        <x:v>2026E</x:v>
      </x:c>
      <x:c r="E134" s="841" t="str">
        <x:v>2027E</x:v>
      </x:c>
      <x:c r="F134" s="839" t="str">
        <x:v>2028E</x:v>
      </x:c>
      <x:c r="G134" s="839" t="str">
        <x:v>2029E</x:v>
      </x:c>
      <x:c r="H134" s="839" t="str">
        <x:v>2030E</x:v>
      </x:c>
      <x:c r="I134" s="839"/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39" t="str">
        <x:v>2026E</x:v>
      </x:c>
      <x:c r="B135" s="1054" t="n">
        <x:f>E112</x:f>
      </x:c>
      <x:c r="C135" s="1054" t="n">
        <x:f>B135/$C$122</x:f>
      </x:c>
      <x:c r="D135" s="1054" t="n">
        <x:f>-$C135*B127</x:f>
      </x:c>
      <x:c r="E135" s="1053" t="n">
        <x:f>-$C135*C127</x:f>
      </x:c>
      <x:c r="F135" s="1054" t="n">
        <x:f>-$C135*D127</x:f>
      </x:c>
      <x:c r="G135" s="1054" t="n">
        <x:f>-$C135*E127</x:f>
      </x:c>
      <x:c r="H135" s="1054" t="n">
        <x:f>-$C135*F127</x:f>
      </x:c>
      <x:c r="I135" s="839"/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39" t="str">
        <x:v>2027E</x:v>
      </x:c>
      <x:c r="B136" s="1054" t="n">
        <x:f>F112</x:f>
      </x:c>
      <x:c r="C136" s="1054" t="n">
        <x:f>B136/$C$122</x:f>
      </x:c>
      <x:c r="D136" s="1054" t="n">
        <x:f>-$C136*B128</x:f>
      </x:c>
      <x:c r="E136" s="1053" t="n">
        <x:f>-$C136*C128</x:f>
      </x:c>
      <x:c r="F136" s="1054" t="n">
        <x:f>-$C136*D128</x:f>
      </x:c>
      <x:c r="G136" s="1054" t="n">
        <x:f>-$C136*E128</x:f>
      </x:c>
      <x:c r="H136" s="1054" t="n">
        <x:f>-$C136*F128</x:f>
      </x:c>
      <x:c r="I136" s="839"/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39" t="str">
        <x:v>2028E</x:v>
      </x:c>
      <x:c r="B137" s="1054" t="n">
        <x:f>G112</x:f>
      </x:c>
      <x:c r="C137" s="1054" t="n">
        <x:f>B137/$C$122</x:f>
      </x:c>
      <x:c r="D137" s="1054" t="n">
        <x:f>-$C137*B129</x:f>
      </x:c>
      <x:c r="E137" s="1053" t="n">
        <x:f>-$C137*C129</x:f>
      </x:c>
      <x:c r="F137" s="1054" t="n">
        <x:f>-$C137*D129</x:f>
      </x:c>
      <x:c r="G137" s="1054" t="n">
        <x:f>-$C137*E129</x:f>
      </x:c>
      <x:c r="H137" s="1054" t="n">
        <x:f>-$C137*F129</x:f>
      </x:c>
      <x:c r="I137" s="839"/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839" t="str">
        <x:v>2029E</x:v>
      </x:c>
      <x:c r="B138" s="1054" t="n">
        <x:f>H112</x:f>
      </x:c>
      <x:c r="C138" s="1054" t="n">
        <x:f>B138/$C$122</x:f>
      </x:c>
      <x:c r="D138" s="1054" t="n">
        <x:f>-$C138*B130</x:f>
      </x:c>
      <x:c r="E138" s="1053" t="n">
        <x:f>-$C138*C130</x:f>
      </x:c>
      <x:c r="F138" s="1054" t="n">
        <x:f>-$C138*D130</x:f>
      </x:c>
      <x:c r="G138" s="1054" t="n">
        <x:f>-$C138*E130</x:f>
      </x:c>
      <x:c r="H138" s="1054" t="n">
        <x:f>-$C138*F130</x:f>
      </x:c>
      <x:c r="I138" s="839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 outlineLevel="1">
      <x:c r="A139" s="839" t="str">
        <x:v>2030E</x:v>
      </x:c>
      <x:c r="B139" s="1054" t="n">
        <x:f>I112</x:f>
      </x:c>
      <x:c r="C139" s="1054" t="n">
        <x:f>B139/$C$122</x:f>
      </x:c>
      <x:c r="D139" s="1054" t="n">
        <x:f>-$C139*B131</x:f>
      </x:c>
      <x:c r="E139" s="1053" t="n">
        <x:f>-$C139*C131</x:f>
      </x:c>
      <x:c r="F139" s="1054" t="n">
        <x:f>-$C139*D131</x:f>
      </x:c>
      <x:c r="G139" s="1054" t="n">
        <x:f>-$C139*E131</x:f>
      </x:c>
      <x:c r="H139" s="1054" t="n">
        <x:f>-$C139*F131</x:f>
      </x:c>
      <x:c r="I139" s="839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 outlineLevel="1">
      <x:c r="A140" s="839"/>
      <x:c r="B140" s="839"/>
      <x:c r="C140" s="839"/>
      <x:c r="D140" s="839"/>
      <x:c r="E140" s="841"/>
      <x:c r="F140" s="839"/>
      <x:c r="G140" s="839"/>
      <x:c r="H140" s="839"/>
      <x:c r="I140" s="839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 outlineLevel="1">
      <x:c r="A141" s="839"/>
      <x:c r="B141" s="839"/>
      <x:c r="C141" s="839"/>
      <x:c r="D141" s="839"/>
      <x:c r="E141" s="841"/>
      <x:c r="F141" s="839"/>
      <x:c r="G141" s="839"/>
      <x:c r="H141" s="839"/>
      <x:c r="I141" s="839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848" t="str">
        <x:v>TOTAL ASSET DEPRECIATION</x:v>
      </x:c>
      <x:c r="B142" s="839"/>
      <x:c r="C142" s="839"/>
      <x:c r="D142" s="839"/>
      <x:c r="E142" s="841"/>
      <x:c r="F142" s="839"/>
      <x:c r="G142" s="839"/>
      <x:c r="H142" s="839"/>
      <x:c r="I142" s="839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839" t="str">
        <x:v>Existing Assets</x:v>
      </x:c>
      <x:c r="B143" s="839"/>
      <x:c r="C143" s="839"/>
      <x:c r="D143" s="839"/>
      <x:c r="E143" s="1053" t="n">
        <x:f>$C$118</x:f>
      </x:c>
      <x:c r="F143" s="1054" t="n">
        <x:f>$C$118</x:f>
      </x:c>
      <x:c r="G143" s="1054" t="n">
        <x:f>$C$118</x:f>
      </x:c>
      <x:c r="H143" s="1054" t="n">
        <x:f>$C$118</x:f>
      </x:c>
      <x:c r="I143" s="1054" t="n">
        <x:f>$C$118</x:f>
      </x:c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39" t="str">
        <x:v>New Assets</x:v>
      </x:c>
      <x:c r="B144" s="839"/>
      <x:c r="C144" s="839"/>
      <x:c r="D144" s="839"/>
      <x:c r="E144" s="1053" t="n">
        <x:f>SUM(D135:D139)</x:f>
      </x:c>
      <x:c r="F144" s="1054" t="n">
        <x:f>SUM(E135:E139)</x:f>
      </x:c>
      <x:c r="G144" s="1054" t="n">
        <x:f>SUM(F135:F139)</x:f>
      </x:c>
      <x:c r="H144" s="1054" t="n">
        <x:f>SUM(G135:G139)</x:f>
      </x:c>
      <x:c r="I144" s="1054" t="n">
        <x:f>SUM(H135:H139)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86" t="str">
        <x:v>Total Accounting Depreciation</x:v>
      </x:c>
      <x:c r="B145" s="886"/>
      <x:c r="C145" s="886"/>
      <x:c r="D145" s="886"/>
      <x:c r="E145" s="1050" t="n">
        <x:f>E143+E144</x:f>
      </x:c>
      <x:c r="F145" s="1051" t="n">
        <x:f>F143+F144</x:f>
      </x:c>
      <x:c r="G145" s="1051" t="n">
        <x:f>G143+G144</x:f>
      </x:c>
      <x:c r="H145" s="1051" t="n">
        <x:f>H143+H144</x:f>
      </x:c>
      <x:c r="I145" s="1051" t="n">
        <x:f>I143+I144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810" t="str">
        <x:v>Depreciation Schedule Check</x:v>
      </x:c>
      <x:c r="B146" s="810"/>
      <x:c r="C146" s="810"/>
      <x:c r="D146" s="810"/>
      <x:c r="E146" s="876" t="str">
        <x:f>IF(ABS(E145-(E143+E144))&lt;0.01,"OK","CHECK")</x:f>
      </x:c>
      <x:c r="F146" s="810" t="str">
        <x:f>IF(ABS(F145-(F143+F144))&lt;0.01,"OK","CHECK")</x:f>
      </x:c>
      <x:c r="G146" s="810" t="str">
        <x:f>IF(ABS(G145-(G143+G144))&lt;0.01,"OK","CHECK")</x:f>
      </x:c>
      <x:c r="H146" s="810" t="str">
        <x:f>IF(ABS(H145-(H143+H144))&lt;0.01,"OK","CHECK")</x:f>
      </x:c>
      <x:c r="I146" s="810" t="str">
        <x:f>IF(ABS(I145-(I143+I144))&lt;0.01,"OK","CHECK")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335"/>
      <x:c r="B147" s="335"/>
      <x:c r="C147" s="335"/>
      <x:c r="D147" s="335"/>
      <x:c r="E147" s="485"/>
      <x:c r="F147" s="335"/>
      <x:c r="G147" s="335"/>
      <x:c r="H147" s="335"/>
      <x:c r="I147" s="335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335"/>
      <x:c r="B148" s="335"/>
      <x:c r="C148" s="335"/>
      <x:c r="D148" s="335"/>
      <x:c r="E148" s="485"/>
      <x:c r="F148" s="335"/>
      <x:c r="G148" s="335"/>
      <x:c r="H148" s="335"/>
      <x:c r="I148" s="335"/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>
      <x:c r="A149" s="335"/>
      <x:c r="B149" s="335"/>
      <x:c r="C149" s="335"/>
      <x:c r="D149" s="335"/>
      <x:c r="E149" s="485"/>
      <x:c r="F149" s="335"/>
      <x:c r="G149" s="335"/>
      <x:c r="H149" s="335"/>
      <x:c r="I149" s="335"/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>
      <x:c r="A150" s="489" t="str">
        <x:v>Asset Schedule</x:v>
      </x:c>
      <x:c r="B150" s="489"/>
      <x:c r="C150" s="489"/>
      <x:c r="D150" s="489"/>
      <x:c r="E150" s="573"/>
      <x:c r="F150" s="574"/>
      <x:c r="G150" s="574"/>
      <x:c r="H150" s="574"/>
      <x:c r="I150" s="574"/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335"/>
      <x:c r="B151" s="335"/>
      <x:c r="C151" s="335"/>
      <x:c r="D151" s="335"/>
      <x:c r="E151" s="485"/>
      <x:c r="F151" s="335"/>
      <x:c r="G151" s="335"/>
      <x:c r="H151" s="335"/>
      <x:c r="I151" s="335"/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 t="str">
        <x:v>Capital Expenditure</x:v>
      </x:c>
      <x:c r="B152" s="810"/>
      <x:c r="C152" s="810"/>
      <x:c r="D152" s="810"/>
      <x:c r="E152" s="1084" t="n">
        <x:f>E112</x:f>
      </x:c>
      <x:c r="F152" s="1085" t="n">
        <x:f>F112</x:f>
      </x:c>
      <x:c r="G152" s="1085" t="n">
        <x:f>G112</x:f>
      </x:c>
      <x:c r="H152" s="1085" t="n">
        <x:f>H112</x:f>
      </x:c>
      <x:c r="I152" s="1085" t="n">
        <x:f>I112</x:f>
      </x:c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 t="str">
        <x:v>Blended Tax Depreciation Rate</x:v>
      </x:c>
      <x:c r="B153" s="810"/>
      <x:c r="C153" s="810"/>
      <x:c r="D153" s="810"/>
      <x:c r="E153" s="1086" t="n">
        <x:v>0.15</x:v>
      </x:c>
      <x:c r="F153" s="1087" t="n">
        <x:v>0.15</x:v>
      </x:c>
      <x:c r="G153" s="1087" t="n">
        <x:v>0.15</x:v>
      </x:c>
      <x:c r="H153" s="1087" t="n">
        <x:v>0.15</x:v>
      </x:c>
      <x:c r="I153" s="1087" t="n">
        <x:v>0.15</x:v>
      </x:c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810" t="str">
        <x:v>First Year Tax Depreciation</x:v>
      </x:c>
      <x:c r="B154" s="810"/>
      <x:c r="C154" s="810"/>
      <x:c r="D154" s="810"/>
      <x:c r="E154" s="1086" t="n">
        <x:v>0.5</x:v>
      </x:c>
      <x:c r="F154" s="1087" t="n">
        <x:v>0.5</x:v>
      </x:c>
      <x:c r="G154" s="1087" t="n">
        <x:v>0.5</x:v>
      </x:c>
      <x:c r="H154" s="1087" t="n">
        <x:v>0.5</x:v>
      </x:c>
      <x:c r="I154" s="1087" t="n">
        <x:v>0.5</x:v>
      </x:c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/>
      <x:c r="B155" s="810"/>
      <x:c r="C155" s="810"/>
      <x:c r="D155" s="810"/>
      <x:c r="E155" s="876"/>
      <x:c r="F155" s="810"/>
      <x:c r="G155" s="810"/>
      <x:c r="H155" s="810"/>
      <x:c r="I155" s="810"/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/>
      <x:c r="B156" s="810"/>
      <x:c r="C156" s="810"/>
      <x:c r="D156" s="810"/>
      <x:c r="E156" s="876"/>
      <x:c r="F156" s="810"/>
      <x:c r="G156" s="810"/>
      <x:c r="H156" s="810"/>
      <x:c r="I156" s="810"/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48" t="str">
        <x:v>PROPERTY, PLANT &amp; EQUIPMENT</x:v>
      </x:c>
      <x:c r="B157" s="839"/>
      <x:c r="C157" s="839"/>
      <x:c r="D157" s="839"/>
      <x:c r="E157" s="841"/>
      <x:c r="F157" s="839"/>
      <x:c r="G157" s="839"/>
      <x:c r="H157" s="839"/>
      <x:c r="I157" s="839"/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10" t="str">
        <x:v>Beginning</x:v>
      </x:c>
      <x:c r="B158" s="810"/>
      <x:c r="C158" s="810"/>
      <x:c r="D158" s="878"/>
      <x:c r="E158" s="1088" t="n">
        <x:f>D161</x:f>
      </x:c>
      <x:c r="F158" s="1089" t="n">
        <x:f>E161</x:f>
      </x:c>
      <x:c r="G158" s="1089" t="n">
        <x:f>F161</x:f>
      </x:c>
      <x:c r="H158" s="1089" t="n">
        <x:f>G161</x:f>
      </x:c>
      <x:c r="I158" s="1089" t="n">
        <x:f>H161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Capital Expenditure</x:v>
      </x:c>
      <x:c r="B159" s="810"/>
      <x:c r="C159" s="810"/>
      <x:c r="D159" s="878"/>
      <x:c r="E159" s="1088" t="n">
        <x:f>E152</x:f>
      </x:c>
      <x:c r="F159" s="1089" t="n">
        <x:f>F152</x:f>
      </x:c>
      <x:c r="G159" s="1089" t="n">
        <x:f>G152</x:f>
      </x:c>
      <x:c r="H159" s="1089" t="n">
        <x:f>H152</x:f>
      </x:c>
      <x:c r="I159" s="1089" t="n">
        <x:f>I152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810" t="str">
        <x:v>Accounting Depreciation</x:v>
      </x:c>
      <x:c r="B160" s="810"/>
      <x:c r="C160" s="810"/>
      <x:c r="D160" s="878"/>
      <x:c r="E160" s="1088" t="n">
        <x:f>E145</x:f>
      </x:c>
      <x:c r="F160" s="1089" t="n">
        <x:f>F145</x:f>
      </x:c>
      <x:c r="G160" s="1089" t="n">
        <x:f>G145</x:f>
      </x:c>
      <x:c r="H160" s="1089" t="n">
        <x:f>H145</x:f>
      </x:c>
      <x:c r="I160" s="1089" t="n">
        <x:f>I145</x:f>
      </x:c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 outlineLevel="1">
      <x:c r="A161" s="893" t="str">
        <x:v>Ending</x:v>
      </x:c>
      <x:c r="B161" s="893"/>
      <x:c r="C161" s="893"/>
      <x:c r="D161" s="1090" t="n">
        <x:f>'01_Inputs_Historicals'!D27</x:f>
      </x:c>
      <x:c r="E161" s="1091" t="n">
        <x:f>E158+E159+E160</x:f>
      </x:c>
      <x:c r="F161" s="1092" t="n">
        <x:f>F158+F159+F160</x:f>
      </x:c>
      <x:c r="G161" s="1092" t="n">
        <x:f>G158+G159+G160</x:f>
      </x:c>
      <x:c r="H161" s="1092" t="n">
        <x:f>H158+H159+H160</x:f>
      </x:c>
      <x:c r="I161" s="1092" t="n">
        <x:f>I158+I159+I160</x:f>
      </x:c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 outlineLevel="1">
      <x:c r="A162" s="810"/>
      <x:c r="B162" s="810"/>
      <x:c r="C162" s="810"/>
      <x:c r="D162" s="810"/>
      <x:c r="E162" s="876"/>
      <x:c r="F162" s="810"/>
      <x:c r="G162" s="810"/>
      <x:c r="H162" s="810"/>
      <x:c r="I162" s="810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 outlineLevel="1">
      <x:c r="A163" s="810"/>
      <x:c r="B163" s="810"/>
      <x:c r="C163" s="810"/>
      <x:c r="D163" s="810"/>
      <x:c r="E163" s="876"/>
      <x:c r="F163" s="810"/>
      <x:c r="G163" s="810"/>
      <x:c r="H163" s="810"/>
      <x:c r="I163" s="810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848" t="str">
        <x:v>TAX BASIS</x:v>
      </x:c>
      <x:c r="B164" s="839"/>
      <x:c r="C164" s="839"/>
      <x:c r="D164" s="839"/>
      <x:c r="E164" s="841"/>
      <x:c r="F164" s="839"/>
      <x:c r="G164" s="839"/>
      <x:c r="H164" s="839"/>
      <x:c r="I164" s="839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Beginning</x:v>
      </x:c>
      <x:c r="B165" s="810"/>
      <x:c r="C165" s="810"/>
      <x:c r="D165" s="878"/>
      <x:c r="E165" s="1088" t="n">
        <x:f>D168</x:f>
      </x:c>
      <x:c r="F165" s="1089" t="n">
        <x:f>E168</x:f>
      </x:c>
      <x:c r="G165" s="1089" t="n">
        <x:f>F168</x:f>
      </x:c>
      <x:c r="H165" s="1089" t="n">
        <x:f>G168</x:f>
      </x:c>
      <x:c r="I165" s="1089" t="n">
        <x:f>H168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Capital Expenditure</x:v>
      </x:c>
      <x:c r="B166" s="810"/>
      <x:c r="C166" s="810"/>
      <x:c r="D166" s="878"/>
      <x:c r="E166" s="1088" t="n">
        <x:f>E152</x:f>
      </x:c>
      <x:c r="F166" s="1089" t="n">
        <x:f>F152</x:f>
      </x:c>
      <x:c r="G166" s="1089" t="n">
        <x:f>G152</x:f>
      </x:c>
      <x:c r="H166" s="1089" t="n">
        <x:f>H152</x:f>
      </x:c>
      <x:c r="I166" s="1089" t="n">
        <x:f>I152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10" t="str">
        <x:v>Tax Depreciation</x:v>
      </x:c>
      <x:c r="B167" s="810"/>
      <x:c r="C167" s="810"/>
      <x:c r="D167" s="878"/>
      <x:c r="E167" s="1088" t="n">
        <x:f>-(E165*E153+E166*E153*E154)</x:f>
      </x:c>
      <x:c r="F167" s="1089" t="n">
        <x:f>-(F165*F153+F166*F153*F154)</x:f>
      </x:c>
      <x:c r="G167" s="1089" t="n">
        <x:f>-(G165*G153+G166*G153*G154)</x:f>
      </x:c>
      <x:c r="H167" s="1089" t="n">
        <x:f>-(H165*H153+H166*H153*H154)</x:f>
      </x:c>
      <x:c r="I167" s="1089" t="n">
        <x:f>-(I165*I153+I166*I153*I154)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93" t="str">
        <x:v>Ending</x:v>
      </x:c>
      <x:c r="B168" s="893"/>
      <x:c r="C168" s="893"/>
      <x:c r="D168" s="1090" t="n">
        <x:f>'01_Inputs_Historicals'!D34</x:f>
      </x:c>
      <x:c r="E168" s="1091" t="n">
        <x:f>E165+E166+E167</x:f>
      </x:c>
      <x:c r="F168" s="1092" t="n">
        <x:f>F165+F166+F167</x:f>
      </x:c>
      <x:c r="G168" s="1092" t="n">
        <x:f>G165+G166+G167</x:f>
      </x:c>
      <x:c r="H168" s="1092" t="n">
        <x:f>H165+H166+H167</x:f>
      </x:c>
      <x:c r="I168" s="1092" t="n">
        <x:f>I165+I166+I167</x:f>
      </x:c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/>
      <x:c r="B169" s="810"/>
      <x:c r="C169" s="810"/>
      <x:c r="D169" s="810"/>
      <x:c r="E169" s="876"/>
      <x:c r="F169" s="810"/>
      <x:c r="G169" s="810"/>
      <x:c r="H169" s="810"/>
      <x:c r="I169" s="810"/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Asset Schedule Check</x:v>
      </x:c>
      <x:c r="B170" s="810"/>
      <x:c r="C170" s="810"/>
      <x:c r="D170" s="810"/>
      <x:c r="E170" s="876" t="str">
        <x:f>IF(AND(ABS(E158+E159+E160-E161)&lt;0.01,ABS(E165+E166+E167-E168)&lt;0.01),"OK","CHECK")</x:f>
      </x:c>
      <x:c r="F170" s="810" t="str">
        <x:f>IF(AND(ABS(F158+F159+F160-F161)&lt;0.01,ABS(F165+F166+F167-F168)&lt;0.01),"OK","CHECK")</x:f>
      </x:c>
      <x:c r="G170" s="810" t="str">
        <x:f>IF(AND(ABS(G158+G159+G160-G161)&lt;0.01,ABS(G165+G166+G167-G168)&lt;0.01),"OK","CHECK")</x:f>
      </x:c>
      <x:c r="H170" s="810" t="str">
        <x:f>IF(AND(ABS(H158+H159+H160-H161)&lt;0.01,ABS(H165+H166+H167-H168)&lt;0.01),"OK","CHECK")</x:f>
      </x:c>
      <x:c r="I170" s="810" t="str">
        <x:f>IF(AND(ABS(I158+I159+I160-I161)&lt;0.01,ABS(I165+I166+I167-I168)&lt;0.01),"OK","CHECK")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335"/>
      <x:c r="B171" s="335"/>
      <x:c r="C171" s="335"/>
      <x:c r="D171" s="335"/>
      <x:c r="E171" s="485"/>
      <x:c r="F171" s="335"/>
      <x:c r="G171" s="335"/>
      <x:c r="H171" s="335"/>
      <x:c r="I171" s="335"/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335"/>
      <x:c r="B172" s="335"/>
      <x:c r="C172" s="335"/>
      <x:c r="D172" s="335"/>
      <x:c r="E172" s="485"/>
      <x:c r="F172" s="335"/>
      <x:c r="G172" s="335"/>
      <x:c r="H172" s="335"/>
      <x:c r="I172" s="335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>
      <x:c r="A173" s="335"/>
      <x:c r="B173" s="335"/>
      <x:c r="C173" s="335"/>
      <x:c r="D173" s="335"/>
      <x:c r="E173" s="485"/>
      <x:c r="F173" s="335"/>
      <x:c r="G173" s="335"/>
      <x:c r="H173" s="335"/>
      <x:c r="I173" s="335"/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>
      <x:c r="A174" s="489" t="str">
        <x:v>Debt Schedule</x:v>
      </x:c>
      <x:c r="B174" s="489"/>
      <x:c r="C174" s="489"/>
      <x:c r="D174" s="489"/>
      <x:c r="E174" s="573"/>
      <x:c r="F174" s="574"/>
      <x:c r="G174" s="574"/>
      <x:c r="H174" s="574"/>
      <x:c r="I174" s="574"/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335"/>
      <x:c r="B175" s="335"/>
      <x:c r="C175" s="335"/>
      <x:c r="D175" s="335"/>
      <x:c r="E175" s="485"/>
      <x:c r="F175" s="335"/>
      <x:c r="G175" s="335"/>
      <x:c r="H175" s="335"/>
      <x:c r="I175" s="335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Opening Debt</x:v>
      </x:c>
      <x:c r="B176" s="810"/>
      <x:c r="C176" s="810"/>
      <x:c r="D176" s="878"/>
      <x:c r="E176" s="1088" t="n">
        <x:f>D179</x:f>
      </x:c>
      <x:c r="F176" s="1089" t="n">
        <x:f>E179</x:f>
      </x:c>
      <x:c r="G176" s="1089" t="n">
        <x:f>F179</x:f>
      </x:c>
      <x:c r="H176" s="1089" t="n">
        <x:f>G179</x:f>
      </x:c>
      <x:c r="I176" s="1089" t="n">
        <x:f>H179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10" t="str">
        <x:v>Debt Repayment</x:v>
      </x:c>
      <x:c r="B177" s="810"/>
      <x:c r="C177" s="810"/>
      <x:c r="D177" s="878"/>
      <x:c r="E177" s="1093" t="n">
        <x:f>-MIN(E176,'01_Inputs_Historicals'!C54)</x:f>
      </x:c>
      <x:c r="F177" s="1094" t="n">
        <x:f>-MIN(F176,'01_Inputs_Historicals'!D54)</x:f>
      </x:c>
      <x:c r="G177" s="1094" t="n">
        <x:f>-MIN(G176,'01_Inputs_Historicals'!E54)</x:f>
      </x:c>
      <x:c r="H177" s="1094" t="n">
        <x:f>-MIN(H176,'01_Inputs_Historicals'!F54)</x:f>
      </x:c>
      <x:c r="I177" s="1094" t="n">
        <x:f>-MIN(I176,'01_Inputs_Historicals'!G54)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 t="str">
        <x:v>New Borrowing</x:v>
      </x:c>
      <x:c r="B178" s="810"/>
      <x:c r="C178" s="810"/>
      <x:c r="D178" s="878"/>
      <x:c r="E178" s="1093" t="n">
        <x:f>'01_Inputs_Historicals'!C55</x:f>
      </x:c>
      <x:c r="F178" s="1094" t="n">
        <x:f>'01_Inputs_Historicals'!D55</x:f>
      </x:c>
      <x:c r="G178" s="1094" t="n">
        <x:f>'01_Inputs_Historicals'!E55</x:f>
      </x:c>
      <x:c r="H178" s="1094" t="n">
        <x:f>'01_Inputs_Historicals'!F55</x:f>
      </x:c>
      <x:c r="I178" s="1094" t="n">
        <x:f>'01_Inputs_Historicals'!G55</x:f>
      </x:c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93" t="str">
        <x:v>Closing Debt</x:v>
      </x:c>
      <x:c r="B179" s="893"/>
      <x:c r="C179" s="893"/>
      <x:c r="D179" s="1090" t="n">
        <x:f>'01_Inputs_Historicals'!D29</x:f>
      </x:c>
      <x:c r="E179" s="1091" t="n">
        <x:f>E176+E177+E178</x:f>
      </x:c>
      <x:c r="F179" s="1092" t="n">
        <x:f>F176+F177+F178</x:f>
      </x:c>
      <x:c r="G179" s="1092" t="n">
        <x:f>G176+G177+G178</x:f>
      </x:c>
      <x:c r="H179" s="1092" t="n">
        <x:f>H176+H177+H178</x:f>
      </x:c>
      <x:c r="I179" s="1092" t="n">
        <x:f>I176+I177+I178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/>
      <x:c r="B180" s="810"/>
      <x:c r="C180" s="810"/>
      <x:c r="D180" s="878"/>
      <x:c r="E180" s="879"/>
      <x:c r="F180" s="878"/>
      <x:c r="G180" s="878"/>
      <x:c r="H180" s="878"/>
      <x:c r="I180" s="878"/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10" t="str">
        <x:v>Average Debt</x:v>
      </x:c>
      <x:c r="B181" s="810"/>
      <x:c r="C181" s="810"/>
      <x:c r="D181" s="878"/>
      <x:c r="E181" s="1088" t="n">
        <x:f>AVERAGE(E176,E179)</x:f>
      </x:c>
      <x:c r="F181" s="1089" t="n">
        <x:f>AVERAGE(F176,F179)</x:f>
      </x:c>
      <x:c r="G181" s="1089" t="n">
        <x:f>AVERAGE(G176,G179)</x:f>
      </x:c>
      <x:c r="H181" s="1089" t="n">
        <x:f>AVERAGE(H176,H179)</x:f>
      </x:c>
      <x:c r="I181" s="1089" t="n">
        <x:f>AVERAGE(I176,I179)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 t="str">
        <x:v>Pre-Tax Cost of Debt</x:v>
      </x:c>
      <x:c r="B182" s="810"/>
      <x:c r="C182" s="810"/>
      <x:c r="D182" s="878"/>
      <x:c r="E182" s="1095" t="n">
        <x:f>'01_Inputs_Historicals'!$C$62</x:f>
      </x:c>
      <x:c r="F182" s="1096" t="n">
        <x:f>'01_Inputs_Historicals'!$C$62</x:f>
      </x:c>
      <x:c r="G182" s="1096" t="n">
        <x:f>'01_Inputs_Historicals'!$C$62</x:f>
      </x:c>
      <x:c r="H182" s="1096" t="n">
        <x:f>'01_Inputs_Historicals'!$C$62</x:f>
      </x:c>
      <x:c r="I182" s="1096" t="n">
        <x:f>'01_Inputs_Historicals'!$C$62</x:f>
      </x:c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10" t="str">
        <x:v>Interest Expense</x:v>
      </x:c>
      <x:c r="B183" s="810"/>
      <x:c r="C183" s="810"/>
      <x:c r="D183" s="878"/>
      <x:c r="E183" s="1088" t="n">
        <x:f>-E181*E182</x:f>
      </x:c>
      <x:c r="F183" s="1089" t="n">
        <x:f>-F181*F182</x:f>
      </x:c>
      <x:c r="G183" s="1089" t="n">
        <x:f>-G181*G182</x:f>
      </x:c>
      <x:c r="H183" s="1089" t="n">
        <x:f>-H181*H182</x:f>
      </x:c>
      <x:c r="I183" s="1089" t="n">
        <x:f>-I181*I182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810" t="str">
        <x:v>Debt Schedule Check</x:v>
      </x:c>
      <x:c r="B184" s="810"/>
      <x:c r="C184" s="810"/>
      <x:c r="D184" s="810"/>
      <x:c r="E184" s="876" t="str">
        <x:f>IF(AND(E179&gt;=0,ABS(E176+E177+E178-E179)&lt;0.01),"OK","CHECK")</x:f>
      </x:c>
      <x:c r="F184" s="810" t="str">
        <x:f>IF(AND(F179&gt;=0,ABS(F176+F177+F178-F179)&lt;0.01),"OK","CHECK")</x:f>
      </x:c>
      <x:c r="G184" s="810" t="str">
        <x:f>IF(AND(G179&gt;=0,ABS(G176+G177+G178-G179)&lt;0.01),"OK","CHECK")</x:f>
      </x:c>
      <x:c r="H184" s="810" t="str">
        <x:f>IF(AND(H179&gt;=0,ABS(H176+H177+H178-H179)&lt;0.01),"OK","CHECK")</x:f>
      </x:c>
      <x:c r="I184" s="810" t="str">
        <x:f>IF(AND(I179&gt;=0,ABS(I176+I177+I178-I179)&lt;0.01),"OK","CHECK")</x:f>
      </x:c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 outlineLevel="1">
      <x:c r="A185" s="335"/>
      <x:c r="B185" s="335"/>
      <x:c r="C185" s="335"/>
      <x:c r="D185" s="335"/>
      <x:c r="E185" s="48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 outlineLevel="1">
      <x:c r="A186" s="335"/>
      <x:c r="B186" s="335"/>
      <x:c r="C186" s="335"/>
      <x:c r="D186" s="335"/>
      <x:c r="E186" s="48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48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489" t="str">
        <x:v>Income Tax Schedule</x:v>
      </x:c>
      <x:c r="B188" s="489"/>
      <x:c r="C188" s="489"/>
      <x:c r="D188" s="489"/>
      <x:c r="E188" s="573"/>
      <x:c r="F188" s="574"/>
      <x:c r="G188" s="574"/>
      <x:c r="H188" s="574"/>
      <x:c r="I188" s="574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 outlineLevel="1">
      <x:c r="A189" s="335"/>
      <x:c r="B189" s="335"/>
      <x:c r="C189" s="335"/>
      <x:c r="D189" s="335"/>
      <x:c r="E189" s="48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 outlineLevel="1">
      <x:c r="A190" s="810" t="str">
        <x:v>Earnings Before Tax (EBT)</x:v>
      </x:c>
      <x:c r="B190" s="810"/>
      <x:c r="C190" s="810"/>
      <x:c r="D190" s="810"/>
      <x:c r="E190" s="1093" t="n">
        <x:f>'03_3_Statement_Model'!E20</x:f>
      </x:c>
      <x:c r="F190" s="1094" t="n">
        <x:f>'03_3_Statement_Model'!F20</x:f>
      </x:c>
      <x:c r="G190" s="1094" t="n">
        <x:f>'03_3_Statement_Model'!G20</x:f>
      </x:c>
      <x:c r="H190" s="1094" t="n">
        <x:f>'03_3_Statement_Model'!H20</x:f>
      </x:c>
      <x:c r="I190" s="1094" t="n">
        <x:f>'03_3_Statement_Model'!I20</x:f>
      </x:c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 outlineLevel="1">
      <x:c r="A191" s="810" t="str">
        <x:v>Profitable Before Taxes?</x:v>
      </x:c>
      <x:c r="B191" s="810"/>
      <x:c r="C191" s="810"/>
      <x:c r="D191" s="810"/>
      <x:c r="E191" s="1084" t="n">
        <x:f>IF(E190&gt;0,1,0)</x:f>
      </x:c>
      <x:c r="F191" s="1085" t="n">
        <x:f>IF(F190&gt;0,1,0)</x:f>
      </x:c>
      <x:c r="G191" s="1085" t="n">
        <x:f>IF(G190&gt;0,1,0)</x:f>
      </x:c>
      <x:c r="H191" s="1085" t="n">
        <x:f>IF(H190&gt;0,1,0)</x:f>
      </x:c>
      <x:c r="I191" s="1085" t="n">
        <x:f>IF(I190&gt;0,1,0)</x:f>
      </x:c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 outlineLevel="1">
      <x:c r="A192" s="810" t="str">
        <x:v>Tax Rate</x:v>
      </x:c>
      <x:c r="B192" s="810"/>
      <x:c r="C192" s="810"/>
      <x:c r="D192" s="810"/>
      <x:c r="E192" s="1095" t="n">
        <x:f>'01_Inputs_Historicals'!C52</x:f>
      </x:c>
      <x:c r="F192" s="1096" t="n">
        <x:f>'01_Inputs_Historicals'!D52</x:f>
      </x:c>
      <x:c r="G192" s="1096" t="n">
        <x:f>'01_Inputs_Historicals'!E52</x:f>
      </x:c>
      <x:c r="H192" s="1096" t="n">
        <x:f>'01_Inputs_Historicals'!F52</x:f>
      </x:c>
      <x:c r="I192" s="1096" t="n">
        <x:f>'01_Inputs_Historicals'!G52</x:f>
      </x:c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 outlineLevel="1">
      <x:c r="A193" s="810" t="str">
        <x:v>Losses Remaining at End?</x:v>
      </x:c>
      <x:c r="B193" s="810"/>
      <x:c r="C193" s="810"/>
      <x:c r="D193" s="810"/>
      <x:c r="E193" s="876"/>
      <x:c r="F193" s="810"/>
      <x:c r="G193" s="810"/>
      <x:c r="H193" s="810"/>
      <x:c r="I193" s="810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 outlineLevel="1">
      <x:c r="A194" s="810"/>
      <x:c r="B194" s="810"/>
      <x:c r="C194" s="810"/>
      <x:c r="D194" s="810"/>
      <x:c r="E194" s="876"/>
      <x:c r="F194" s="810"/>
      <x:c r="G194" s="810"/>
      <x:c r="H194" s="810"/>
      <x:c r="I194" s="810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 outlineLevel="1">
      <x:c r="A195" s="810"/>
      <x:c r="B195" s="810"/>
      <x:c r="C195" s="810"/>
      <x:c r="D195" s="810"/>
      <x:c r="E195" s="876"/>
      <x:c r="F195" s="810"/>
      <x:c r="G195" s="810"/>
      <x:c r="H195" s="810"/>
      <x:c r="I195" s="810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 outlineLevel="1">
      <x:c r="A196" s="848" t="str">
        <x:v>ADJUSTMENT FOR DEPRECIATION</x:v>
      </x:c>
      <x:c r="B196" s="839"/>
      <x:c r="C196" s="839"/>
      <x:c r="D196" s="839"/>
      <x:c r="E196" s="841"/>
      <x:c r="F196" s="839"/>
      <x:c r="G196" s="839"/>
      <x:c r="H196" s="839"/>
      <x:c r="I196" s="839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 outlineLevel="1">
      <x:c r="A197" s="810" t="str">
        <x:v>EBT</x:v>
      </x:c>
      <x:c r="B197" s="810"/>
      <x:c r="C197" s="810"/>
      <x:c r="D197" s="810"/>
      <x:c r="E197" s="1088" t="n">
        <x:f>E190</x:f>
      </x:c>
      <x:c r="F197" s="1089" t="n">
        <x:f>F190</x:f>
      </x:c>
      <x:c r="G197" s="1089" t="n">
        <x:f>G190</x:f>
      </x:c>
      <x:c r="H197" s="1089" t="n">
        <x:f>H190</x:f>
      </x:c>
      <x:c r="I197" s="1089" t="n">
        <x:f>I190</x:f>
      </x:c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 outlineLevel="1">
      <x:c r="A198" s="810" t="str">
        <x:v>Add: Accounting Depreciation</x:v>
      </x:c>
      <x:c r="B198" s="810"/>
      <x:c r="C198" s="810"/>
      <x:c r="D198" s="810"/>
      <x:c r="E198" s="1088" t="n">
        <x:f>-E160</x:f>
      </x:c>
      <x:c r="F198" s="1089" t="n">
        <x:f>-F160</x:f>
      </x:c>
      <x:c r="G198" s="1089" t="n">
        <x:f>-G160</x:f>
      </x:c>
      <x:c r="H198" s="1089" t="n">
        <x:f>-H160</x:f>
      </x:c>
      <x:c r="I198" s="1089" t="n">
        <x:f>-I160</x:f>
      </x:c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 outlineLevel="1">
      <x:c r="A199" s="810" t="str">
        <x:v>Less: Tax Depreciation</x:v>
      </x:c>
      <x:c r="B199" s="810"/>
      <x:c r="C199" s="810"/>
      <x:c r="D199" s="810"/>
      <x:c r="E199" s="1088" t="n">
        <x:f>E167</x:f>
      </x:c>
      <x:c r="F199" s="1089" t="n">
        <x:f>F167</x:f>
      </x:c>
      <x:c r="G199" s="1089" t="n">
        <x:f>G167</x:f>
      </x:c>
      <x:c r="H199" s="1089" t="n">
        <x:f>H167</x:f>
      </x:c>
      <x:c r="I199" s="1089" t="n">
        <x:f>I167</x:f>
      </x:c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 outlineLevel="1">
      <x:c r="A200" s="880" t="str">
        <x:v>EBT After Depreciation Adjustment</x:v>
      </x:c>
      <x:c r="B200" s="880"/>
      <x:c r="C200" s="880"/>
      <x:c r="D200" s="880"/>
      <x:c r="E200" s="1097" t="n">
        <x:f>SUM(E197:E199)</x:f>
      </x:c>
      <x:c r="F200" s="1098" t="n">
        <x:f>SUM(F197:F199)</x:f>
      </x:c>
      <x:c r="G200" s="1098" t="n">
        <x:f>SUM(G197:G199)</x:f>
      </x:c>
      <x:c r="H200" s="1098" t="n">
        <x:f>SUM(H197:H199)</x:f>
      </x:c>
      <x:c r="I200" s="1098" t="n">
        <x:f>SUM(I197:I199)</x:f>
      </x:c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 outlineLevel="1">
      <x:c r="A201" s="810"/>
      <x:c r="B201" s="810"/>
      <x:c r="C201" s="810"/>
      <x:c r="D201" s="810"/>
      <x:c r="E201" s="876"/>
      <x:c r="F201" s="810"/>
      <x:c r="G201" s="810"/>
      <x:c r="H201" s="810"/>
      <x:c r="I201" s="810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 outlineLevel="1">
      <x:c r="A202" s="810"/>
      <x:c r="B202" s="810"/>
      <x:c r="C202" s="810"/>
      <x:c r="D202" s="810"/>
      <x:c r="E202" s="876"/>
      <x:c r="F202" s="810"/>
      <x:c r="G202" s="810"/>
      <x:c r="H202" s="810"/>
      <x:c r="I202" s="810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 outlineLevel="1">
      <x:c r="A203" s="848" t="str">
        <x:v>ADJUSTMENT FOR TAX LOSSES</x:v>
      </x:c>
      <x:c r="B203" s="839"/>
      <x:c r="C203" s="839"/>
      <x:c r="D203" s="839"/>
      <x:c r="E203" s="841"/>
      <x:c r="F203" s="839"/>
      <x:c r="G203" s="839"/>
      <x:c r="H203" s="839"/>
      <x:c r="I203" s="839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 outlineLevel="1">
      <x:c r="A204" s="810" t="str">
        <x:v>EBT After Depreciation Adjustment</x:v>
      </x:c>
      <x:c r="B204" s="810"/>
      <x:c r="C204" s="810"/>
      <x:c r="D204" s="810"/>
      <x:c r="E204" s="1088" t="n">
        <x:f>E200</x:f>
      </x:c>
      <x:c r="F204" s="1089" t="n">
        <x:f>F200</x:f>
      </x:c>
      <x:c r="G204" s="1089" t="n">
        <x:f>G200</x:f>
      </x:c>
      <x:c r="H204" s="1089" t="n">
        <x:f>H200</x:f>
      </x:c>
      <x:c r="I204" s="1089" t="n">
        <x:f>I200</x:f>
      </x:c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 outlineLevel="1">
      <x:c r="A205" s="810" t="str">
        <x:v>Less: Use of Tax Losses</x:v>
      </x:c>
      <x:c r="B205" s="810"/>
      <x:c r="C205" s="810"/>
      <x:c r="D205" s="810"/>
      <x:c r="E205" s="1088" t="n">
        <x:f>-MIN(MAX(0,E204),E208)</x:f>
      </x:c>
      <x:c r="F205" s="1089" t="n">
        <x:f>-MIN(MAX(0,F204),F208)</x:f>
      </x:c>
      <x:c r="G205" s="1089" t="n">
        <x:f>-MIN(MAX(0,G204),G208)</x:f>
      </x:c>
      <x:c r="H205" s="1089" t="n">
        <x:f>-MIN(MAX(0,H204),H208)</x:f>
      </x:c>
      <x:c r="I205" s="1089" t="n">
        <x:f>-MIN(MAX(0,I204),I208)</x:f>
      </x:c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 outlineLevel="1">
      <x:c r="A206" s="893" t="str">
        <x:v>Taxable Income</x:v>
      </x:c>
      <x:c r="B206" s="893"/>
      <x:c r="C206" s="893"/>
      <x:c r="D206" s="893"/>
      <x:c r="E206" s="1091" t="n">
        <x:f>MAX(0,E204+E205)</x:f>
      </x:c>
      <x:c r="F206" s="1092" t="n">
        <x:f>MAX(0,F204+F205)</x:f>
      </x:c>
      <x:c r="G206" s="1092" t="n">
        <x:f>MAX(0,G204+G205)</x:f>
      </x:c>
      <x:c r="H206" s="1092" t="n">
        <x:f>MAX(0,H204+H205)</x:f>
      </x:c>
      <x:c r="I206" s="1092" t="n">
        <x:f>MAX(0,I204+I205)</x:f>
      </x:c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 outlineLevel="1">
      <x:c r="A207" s="810"/>
      <x:c r="B207" s="810"/>
      <x:c r="C207" s="810"/>
      <x:c r="D207" s="810"/>
      <x:c r="E207" s="876"/>
      <x:c r="F207" s="810"/>
      <x:c r="G207" s="810"/>
      <x:c r="H207" s="810"/>
      <x:c r="I207" s="810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 outlineLevel="1">
      <x:c r="A208" s="810" t="str">
        <x:v>Beginning</x:v>
      </x:c>
      <x:c r="B208" s="810"/>
      <x:c r="C208" s="810"/>
      <x:c r="D208" s="878"/>
      <x:c r="E208" s="1088" t="n">
        <x:f>D211</x:f>
      </x:c>
      <x:c r="F208" s="1089" t="n">
        <x:f>E211</x:f>
      </x:c>
      <x:c r="G208" s="1089" t="n">
        <x:f>F211</x:f>
      </x:c>
      <x:c r="H208" s="1089" t="n">
        <x:f>G211</x:f>
      </x:c>
      <x:c r="I208" s="1089" t="n">
        <x:f>H211</x:f>
      </x:c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 outlineLevel="1">
      <x:c r="A209" s="848" t="str">
        <x:v>Add: New Losses</x:v>
      </x:c>
      <x:c r="B209" s="839"/>
      <x:c r="C209" s="839"/>
      <x:c r="D209" s="860"/>
      <x:c r="E209" s="1053" t="n">
        <x:f>MAX(0,-E204)</x:f>
      </x:c>
      <x:c r="F209" s="1054" t="n">
        <x:f>MAX(0,-F204)</x:f>
      </x:c>
      <x:c r="G209" s="1054" t="n">
        <x:f>MAX(0,-G204)</x:f>
      </x:c>
      <x:c r="H209" s="1054" t="n">
        <x:f>MAX(0,-H204)</x:f>
      </x:c>
      <x:c r="I209" s="1054" t="n">
        <x:f>MAX(0,-I204)</x:f>
      </x:c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 outlineLevel="1">
      <x:c r="A210" s="810" t="str">
        <x:v>Less: Use of Tax Losses</x:v>
      </x:c>
      <x:c r="B210" s="810"/>
      <x:c r="C210" s="810"/>
      <x:c r="D210" s="878"/>
      <x:c r="E210" s="1088" t="n">
        <x:f>E205</x:f>
      </x:c>
      <x:c r="F210" s="1089" t="n">
        <x:f>F205</x:f>
      </x:c>
      <x:c r="G210" s="1089" t="n">
        <x:f>G205</x:f>
      </x:c>
      <x:c r="H210" s="1089" t="n">
        <x:f>H205</x:f>
      </x:c>
      <x:c r="I210" s="1089" t="n">
        <x:f>I205</x:f>
      </x:c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  <x:row r="211" outlineLevel="1">
      <x:c r="A211" s="893" t="str">
        <x:v>Ending</x:v>
      </x:c>
      <x:c r="B211" s="893"/>
      <x:c r="C211" s="893"/>
      <x:c r="D211" s="1090" t="n">
        <x:f>'01_Inputs_Historicals'!D33</x:f>
      </x:c>
      <x:c r="E211" s="1091" t="n">
        <x:f>MAX(0,E208+E209+E210)</x:f>
      </x:c>
      <x:c r="F211" s="1092" t="n">
        <x:f>MAX(0,F208+F209+F210)</x:f>
      </x:c>
      <x:c r="G211" s="1092" t="n">
        <x:f>MAX(0,G208+G209+G210)</x:f>
      </x:c>
      <x:c r="H211" s="1092" t="n">
        <x:f>MAX(0,H208+H209+H210)</x:f>
      </x:c>
      <x:c r="I211" s="1092" t="n">
        <x:f>MAX(0,I208+I209+I210)</x:f>
      </x:c>
      <x:c r="J211" s="335"/>
      <x:c r="K211" s="335"/>
      <x:c r="L211" s="335"/>
      <x:c r="M211" s="335"/>
      <x:c r="N211" s="335"/>
      <x:c r="O211" s="335"/>
      <x:c r="P211" s="335"/>
      <x:c r="Q211" s="335"/>
      <x:c r="R211" s="335"/>
      <x:c r="S211" s="335"/>
    </x:row>
    <x:row r="212" outlineLevel="1">
      <x:c r="A212" s="810"/>
      <x:c r="B212" s="810"/>
      <x:c r="C212" s="810"/>
      <x:c r="D212" s="810"/>
      <x:c r="E212" s="876"/>
      <x:c r="F212" s="810"/>
      <x:c r="G212" s="810"/>
      <x:c r="H212" s="810"/>
      <x:c r="I212" s="810"/>
      <x:c r="J212" s="335"/>
      <x:c r="K212" s="335"/>
      <x:c r="L212" s="335"/>
      <x:c r="M212" s="335"/>
      <x:c r="N212" s="335"/>
      <x:c r="O212" s="335"/>
      <x:c r="P212" s="335"/>
      <x:c r="Q212" s="335"/>
      <x:c r="R212" s="335"/>
      <x:c r="S212" s="335"/>
    </x:row>
    <x:row r="213" outlineLevel="1">
      <x:c r="A213" s="810"/>
      <x:c r="B213" s="810"/>
      <x:c r="C213" s="810"/>
      <x:c r="D213" s="810"/>
      <x:c r="E213" s="876"/>
      <x:c r="F213" s="810"/>
      <x:c r="G213" s="810"/>
      <x:c r="H213" s="810"/>
      <x:c r="I213" s="810"/>
      <x:c r="J213" s="335"/>
      <x:c r="K213" s="335"/>
      <x:c r="L213" s="335"/>
      <x:c r="M213" s="335"/>
      <x:c r="N213" s="335"/>
      <x:c r="O213" s="335"/>
      <x:c r="P213" s="335"/>
      <x:c r="Q213" s="335"/>
      <x:c r="R213" s="335"/>
      <x:c r="S213" s="335"/>
    </x:row>
    <x:row r="214" outlineLevel="1">
      <x:c r="A214" s="848" t="str">
        <x:v>TAXES</x:v>
      </x:c>
      <x:c r="B214" s="839"/>
      <x:c r="C214" s="839"/>
      <x:c r="D214" s="839"/>
      <x:c r="E214" s="841"/>
      <x:c r="F214" s="839"/>
      <x:c r="G214" s="839"/>
      <x:c r="H214" s="839"/>
      <x:c r="I214" s="839"/>
      <x:c r="J214" s="335"/>
      <x:c r="K214" s="335"/>
      <x:c r="L214" s="335"/>
      <x:c r="M214" s="335"/>
      <x:c r="N214" s="335"/>
      <x:c r="O214" s="335"/>
      <x:c r="P214" s="335"/>
      <x:c r="Q214" s="335"/>
      <x:c r="R214" s="335"/>
      <x:c r="S214" s="335"/>
    </x:row>
    <x:row r="215" outlineLevel="1">
      <x:c r="A215" s="810" t="str">
        <x:v>Current Taxes</x:v>
      </x:c>
      <x:c r="B215" s="810"/>
      <x:c r="C215" s="810"/>
      <x:c r="D215" s="810"/>
      <x:c r="E215" s="1088" t="n">
        <x:f>-E206*E192</x:f>
      </x:c>
      <x:c r="F215" s="1089" t="n">
        <x:f>-F206*F192</x:f>
      </x:c>
      <x:c r="G215" s="1089" t="n">
        <x:f>-G206*G192</x:f>
      </x:c>
      <x:c r="H215" s="1089" t="n">
        <x:f>-H206*H192</x:f>
      </x:c>
      <x:c r="I215" s="1089" t="n">
        <x:f>-I206*I192</x:f>
      </x:c>
      <x:c r="J215" s="335"/>
      <x:c r="K215" s="335"/>
      <x:c r="L215" s="335"/>
      <x:c r="M215" s="335"/>
      <x:c r="N215" s="335"/>
      <x:c r="O215" s="335"/>
      <x:c r="P215" s="335"/>
      <x:c r="Q215" s="335"/>
      <x:c r="R215" s="335"/>
      <x:c r="S215" s="335"/>
    </x:row>
    <x:row r="216" outlineLevel="1">
      <x:c r="A216" s="810" t="str">
        <x:v>Deferred Taxes</x:v>
      </x:c>
      <x:c r="B216" s="810"/>
      <x:c r="C216" s="810"/>
      <x:c r="D216" s="810"/>
      <x:c r="E216" s="1088" t="n">
        <x:f>-E225</x:f>
      </x:c>
      <x:c r="F216" s="1089" t="n">
        <x:f>-F225</x:f>
      </x:c>
      <x:c r="G216" s="1089" t="n">
        <x:f>-G225</x:f>
      </x:c>
      <x:c r="H216" s="1089" t="n">
        <x:f>-H225</x:f>
      </x:c>
      <x:c r="I216" s="1089" t="n">
        <x:f>-I225</x:f>
      </x:c>
      <x:c r="J216" s="335"/>
      <x:c r="K216" s="335"/>
      <x:c r="L216" s="335"/>
      <x:c r="M216" s="335"/>
      <x:c r="N216" s="335"/>
      <x:c r="O216" s="335"/>
      <x:c r="P216" s="335"/>
      <x:c r="Q216" s="335"/>
      <x:c r="R216" s="335"/>
      <x:c r="S216" s="335"/>
    </x:row>
    <x:row r="217" outlineLevel="1">
      <x:c r="A217" s="893" t="str">
        <x:v>Total Taxes</x:v>
      </x:c>
      <x:c r="B217" s="893"/>
      <x:c r="C217" s="893"/>
      <x:c r="D217" s="893"/>
      <x:c r="E217" s="1091" t="n">
        <x:f>E215+E216</x:f>
      </x:c>
      <x:c r="F217" s="1092" t="n">
        <x:f>F215+F216</x:f>
      </x:c>
      <x:c r="G217" s="1092" t="n">
        <x:f>G215+G216</x:f>
      </x:c>
      <x:c r="H217" s="1092" t="n">
        <x:f>H215+H216</x:f>
      </x:c>
      <x:c r="I217" s="1092" t="n">
        <x:f>I215+I216</x:f>
      </x:c>
      <x:c r="J217" s="335"/>
      <x:c r="K217" s="335"/>
      <x:c r="L217" s="335"/>
      <x:c r="M217" s="335"/>
      <x:c r="N217" s="335"/>
      <x:c r="O217" s="335"/>
      <x:c r="P217" s="335"/>
      <x:c r="Q217" s="335"/>
      <x:c r="R217" s="335"/>
      <x:c r="S217" s="335"/>
    </x:row>
    <x:row r="218" outlineLevel="1">
      <x:c r="A218" s="810" t="str">
        <x:v>Tax Schedule Check</x:v>
      </x:c>
      <x:c r="B218" s="810"/>
      <x:c r="C218" s="810"/>
      <x:c r="D218" s="810"/>
      <x:c r="E218" s="876" t="str">
        <x:f>IF(ABS(E217-(E215+E216))&lt;0.01,"OK","CHECK")</x:f>
      </x:c>
      <x:c r="F218" s="810" t="str">
        <x:f>IF(ABS(F217-(F215+F216))&lt;0.01,"OK","CHECK")</x:f>
      </x:c>
      <x:c r="G218" s="810" t="str">
        <x:f>IF(ABS(G217-(G215+G216))&lt;0.01,"OK","CHECK")</x:f>
      </x:c>
      <x:c r="H218" s="810" t="str">
        <x:f>IF(ABS(H217-(H215+H216))&lt;0.01,"OK","CHECK")</x:f>
      </x:c>
      <x:c r="I218" s="810" t="str">
        <x:f>IF(ABS(I217-(I215+I216))&lt;0.01,"OK","CHECK")</x:f>
      </x:c>
      <x:c r="J218" s="335"/>
      <x:c r="K218" s="335"/>
      <x:c r="L218" s="335"/>
      <x:c r="M218" s="335"/>
      <x:c r="N218" s="335"/>
      <x:c r="O218" s="335"/>
      <x:c r="P218" s="335"/>
      <x:c r="Q218" s="335"/>
      <x:c r="R218" s="335"/>
      <x:c r="S218" s="335"/>
    </x:row>
    <x:row r="219" outlineLevel="1">
      <x:c r="A219" s="335"/>
      <x:c r="B219" s="335"/>
      <x:c r="C219" s="335"/>
      <x:c r="D219" s="335"/>
      <x:c r="E219" s="485"/>
      <x:c r="F219" s="335"/>
      <x:c r="G219" s="335"/>
      <x:c r="H219" s="335"/>
      <x:c r="I219" s="335"/>
      <x:c r="J219" s="335"/>
      <x:c r="K219" s="335"/>
      <x:c r="L219" s="335"/>
      <x:c r="M219" s="335"/>
      <x:c r="N219" s="335"/>
      <x:c r="O219" s="335"/>
      <x:c r="P219" s="335"/>
      <x:c r="Q219" s="335"/>
      <x:c r="R219" s="335"/>
      <x:c r="S219" s="335"/>
    </x:row>
    <x:row r="220" outlineLevel="1">
      <x:c r="A220" s="335"/>
      <x:c r="B220" s="335"/>
      <x:c r="C220" s="335"/>
      <x:c r="D220" s="335"/>
      <x:c r="E220" s="486"/>
      <x:c r="F220" s="335"/>
      <x:c r="G220" s="335"/>
      <x:c r="H220" s="335"/>
      <x:c r="I220" s="335"/>
      <x:c r="J220" s="335"/>
      <x:c r="K220" s="335"/>
      <x:c r="L220" s="335"/>
      <x:c r="M220" s="335"/>
      <x:c r="N220" s="335"/>
      <x:c r="O220" s="335"/>
      <x:c r="P220" s="335"/>
      <x:c r="Q220" s="335"/>
      <x:c r="R220" s="335"/>
      <x:c r="S220" s="335"/>
    </x:row>
    <x:row r="221">
      <x:c r="A221" s="335"/>
      <x:c r="B221" s="335"/>
      <x:c r="C221" s="335"/>
      <x:c r="D221" s="335"/>
      <x:c r="E221" s="335"/>
      <x:c r="F221" s="335"/>
      <x:c r="G221" s="335"/>
      <x:c r="H221" s="335"/>
      <x:c r="I221" s="335"/>
      <x:c r="J221" s="335"/>
      <x:c r="K221" s="335"/>
      <x:c r="L221" s="335"/>
      <x:c r="M221" s="335"/>
      <x:c r="N221" s="335"/>
      <x:c r="O221" s="335"/>
      <x:c r="P221" s="335"/>
      <x:c r="Q221" s="335"/>
      <x:c r="R221" s="335"/>
      <x:c r="S221" s="335"/>
    </x:row>
    <x:row r="222">
      <x:c r="A222" s="604" t="str">
        <x:v>Deferred Tax Liability Schedule</x:v>
      </x:c>
      <x:c r="B222" s="604"/>
      <x:c r="C222" s="604"/>
      <x:c r="D222" s="604"/>
      <x:c r="E222" s="604"/>
      <x:c r="F222" s="604"/>
      <x:c r="G222" s="604"/>
      <x:c r="H222" s="604"/>
      <x:c r="I222" s="604"/>
      <x:c r="J222" s="335"/>
      <x:c r="K222" s="335"/>
      <x:c r="L222" s="335"/>
      <x:c r="M222" s="335"/>
      <x:c r="N222" s="335"/>
      <x:c r="O222" s="335"/>
      <x:c r="P222" s="335"/>
      <x:c r="Q222" s="335"/>
      <x:c r="R222" s="335"/>
      <x:c r="S222" s="335"/>
    </x:row>
    <x:row r="223" outlineLevel="1">
      <x:c r="A223" s="335"/>
      <x:c r="B223" s="335"/>
      <x:c r="C223" s="335"/>
      <x:c r="D223" s="335"/>
      <x:c r="E223" s="335"/>
      <x:c r="F223" s="335"/>
      <x:c r="G223" s="335"/>
      <x:c r="H223" s="335"/>
      <x:c r="I223" s="335"/>
      <x:c r="J223" s="335"/>
      <x:c r="K223" s="335"/>
      <x:c r="L223" s="335"/>
      <x:c r="M223" s="335"/>
      <x:c r="N223" s="335"/>
      <x:c r="O223" s="335"/>
      <x:c r="P223" s="335"/>
      <x:c r="Q223" s="335"/>
      <x:c r="R223" s="335"/>
      <x:c r="S223" s="335"/>
    </x:row>
    <x:row r="224" outlineLevel="1">
      <x:c r="A224" s="810" t="str">
        <x:v>Opening Deferred Tax Liability</x:v>
      </x:c>
      <x:c r="B224" s="810"/>
      <x:c r="C224" s="810"/>
      <x:c r="D224" s="878"/>
      <x:c r="E224" s="1089" t="n">
        <x:f>D226</x:f>
      </x:c>
      <x:c r="F224" s="1089" t="n">
        <x:f>E226</x:f>
      </x:c>
      <x:c r="G224" s="1089" t="n">
        <x:f>F226</x:f>
      </x:c>
      <x:c r="H224" s="1089" t="n">
        <x:f>G226</x:f>
      </x:c>
      <x:c r="I224" s="1089" t="n">
        <x:f>H226</x:f>
      </x:c>
      <x:c r="J224" s="335"/>
      <x:c r="K224" s="335"/>
      <x:c r="L224" s="335"/>
      <x:c r="M224" s="335"/>
      <x:c r="N224" s="335"/>
      <x:c r="O224" s="335"/>
      <x:c r="P224" s="335"/>
      <x:c r="Q224" s="335"/>
      <x:c r="R224" s="335"/>
      <x:c r="S224" s="335"/>
    </x:row>
    <x:row r="225" outlineLevel="1">
      <x:c r="A225" s="810" t="str">
        <x:v>Deferred Tax Expense / (Benefit)</x:v>
      </x:c>
      <x:c r="B225" s="810"/>
      <x:c r="C225" s="810"/>
      <x:c r="D225" s="878"/>
      <x:c r="E225" s="1089" t="n">
        <x:f>E226-E224</x:f>
      </x:c>
      <x:c r="F225" s="1089" t="n">
        <x:f>F226-F224</x:f>
      </x:c>
      <x:c r="G225" s="1089" t="n">
        <x:f>G226-G224</x:f>
      </x:c>
      <x:c r="H225" s="1089" t="n">
        <x:f>H226-H224</x:f>
      </x:c>
      <x:c r="I225" s="1089" t="n">
        <x:f>I226-I224</x:f>
      </x:c>
      <x:c r="J225" s="335"/>
      <x:c r="K225" s="335"/>
      <x:c r="L225" s="335"/>
      <x:c r="M225" s="335"/>
      <x:c r="N225" s="335"/>
      <x:c r="O225" s="335"/>
      <x:c r="P225" s="335"/>
      <x:c r="Q225" s="335"/>
      <x:c r="R225" s="335"/>
      <x:c r="S225" s="335"/>
    </x:row>
    <x:row r="226" outlineLevel="1">
      <x:c r="A226" s="893" t="str">
        <x:v>Closing Deferred Tax Liability</x:v>
      </x:c>
      <x:c r="B226" s="893"/>
      <x:c r="C226" s="893"/>
      <x:c r="D226" s="1090" t="n">
        <x:f>'01_Inputs_Historicals'!D30</x:f>
      </x:c>
      <x:c r="E226" s="1092" t="n">
        <x:f>MAX(0,E224+((E161-E168)-(D161-D168))*E192)</x:f>
      </x:c>
      <x:c r="F226" s="1092" t="n">
        <x:f>MAX(0,F224+((F161-F168)-(E161-E168))*F192)</x:f>
      </x:c>
      <x:c r="G226" s="1092" t="n">
        <x:f>MAX(0,G224+((G161-G168)-(F161-F168))*G192)</x:f>
      </x:c>
      <x:c r="H226" s="1092" t="n">
        <x:f>MAX(0,H224+((H161-H168)-(G161-G168))*H192)</x:f>
      </x:c>
      <x:c r="I226" s="1092" t="n">
        <x:f>MAX(0,I224+((I161-I168)-(H161-H168))*I192)</x:f>
      </x:c>
      <x:c r="J226" s="335"/>
      <x:c r="K226" s="335"/>
      <x:c r="L226" s="335"/>
      <x:c r="M226" s="335"/>
      <x:c r="N226" s="335"/>
      <x:c r="O226" s="335"/>
      <x:c r="P226" s="335"/>
      <x:c r="Q226" s="335"/>
      <x:c r="R226" s="335"/>
      <x:c r="S226" s="335"/>
    </x:row>
    <x:row r="227" outlineLevel="1">
      <x:c r="A227" s="810" t="str">
        <x:v>DTL Schedule Check</x:v>
      </x:c>
      <x:c r="B227" s="810"/>
      <x:c r="C227" s="810"/>
      <x:c r="D227" s="810"/>
      <x:c r="E227" s="810" t="str">
        <x:f>IF(ABS(E226-(E224+E225))&lt;0.01,"OK","CHECK")</x:f>
      </x:c>
      <x:c r="F227" s="810" t="str">
        <x:f>IF(ABS(F226-(F224+F225))&lt;0.01,"OK","CHECK")</x:f>
      </x:c>
      <x:c r="G227" s="810" t="str">
        <x:f>IF(ABS(G226-(G224+G225))&lt;0.01,"OK","CHECK")</x:f>
      </x:c>
      <x:c r="H227" s="810" t="str">
        <x:f>IF(ABS(H226-(H224+H225))&lt;0.01,"OK","CHECK")</x:f>
      </x:c>
      <x:c r="I227" s="810" t="str">
        <x:f>IF(ABS(I226-(I224+I225))&lt;0.01,"OK","CHECK")</x:f>
      </x:c>
      <x:c r="J227" s="335"/>
      <x:c r="K227" s="335"/>
      <x:c r="L227" s="335"/>
      <x:c r="M227" s="335"/>
      <x:c r="N227" s="335"/>
      <x:c r="O227" s="335"/>
      <x:c r="P227" s="335"/>
      <x:c r="Q227" s="335"/>
      <x:c r="R227" s="335"/>
      <x:c r="S227" s="335"/>
    </x:row>
    <x:row r="228" outlineLevel="1">
      <x:c r="A228" s="335"/>
      <x:c r="B228" s="335"/>
      <x:c r="C228" s="335"/>
      <x:c r="D228" s="335"/>
      <x:c r="E228" s="335"/>
      <x:c r="F228" s="335"/>
      <x:c r="G228" s="335"/>
      <x:c r="H228" s="335"/>
      <x:c r="I228" s="335"/>
      <x:c r="J228" s="335"/>
      <x:c r="K228" s="335"/>
      <x:c r="L228" s="335"/>
      <x:c r="M228" s="335"/>
      <x:c r="N228" s="335"/>
      <x:c r="O228" s="335"/>
      <x:c r="P228" s="335"/>
      <x:c r="Q228" s="335"/>
      <x:c r="R228" s="335"/>
      <x:c r="S228" s="335"/>
    </x:row>
    <x:row r="229" outlineLevel="1">
      <x:c r="A229" s="335"/>
      <x:c r="B229" s="335"/>
      <x:c r="C229" s="335"/>
      <x:c r="D229" s="335"/>
      <x:c r="E229" s="335"/>
      <x:c r="F229" s="335"/>
      <x:c r="G229" s="335"/>
      <x:c r="H229" s="335"/>
      <x:c r="I229" s="335"/>
      <x:c r="J229" s="335"/>
      <x:c r="K229" s="335"/>
      <x:c r="L229" s="335"/>
      <x:c r="M229" s="335"/>
      <x:c r="N229" s="335"/>
      <x:c r="O229" s="335"/>
      <x:c r="P229" s="335"/>
      <x:c r="Q229" s="335"/>
      <x:c r="R229" s="335"/>
      <x:c r="S229" s="335"/>
    </x:row>
    <x:row r="230">
      <x:c r="A230" s="335"/>
      <x:c r="B230" s="335"/>
      <x:c r="C230" s="335"/>
      <x:c r="D230" s="335"/>
      <x:c r="E230" s="335"/>
      <x:c r="F230" s="335"/>
      <x:c r="G230" s="335"/>
      <x:c r="H230" s="335"/>
      <x:c r="I230" s="335"/>
      <x:c r="J230" s="335"/>
      <x:c r="K230" s="335"/>
      <x:c r="L230" s="335"/>
      <x:c r="M230" s="335"/>
      <x:c r="N230" s="335"/>
      <x:c r="O230" s="335"/>
      <x:c r="P230" s="335"/>
      <x:c r="Q230" s="335"/>
      <x:c r="R230" s="335"/>
      <x:c r="S230" s="335"/>
    </x:row>
    <x:row r="231">
      <x:c r="A231" s="489" t="str">
        <x:v>Capacity, Expansion &amp; Constrained Volume</x:v>
      </x:c>
      <x:c r="B231" s="489"/>
      <x:c r="C231" s="489"/>
      <x:c r="D231" s="489"/>
      <x:c r="E231" s="490"/>
      <x:c r="F231" s="489"/>
      <x:c r="G231" s="489"/>
      <x:c r="H231" s="489"/>
      <x:c r="I231" s="489"/>
    </x:row>
    <x:row r="233" outlineLevel="1">
      <x:c r="A233" s="839" t="str">
        <x:v>Demand Volume (units/day)</x:v>
      </x:c>
      <x:c r="D233" s="1041" t="n">
        <x:f>'01_Inputs_Historicals'!D7</x:f>
      </x:c>
      <x:c r="E233" s="1042" t="n">
        <x:f>D233*(1+E10)</x:f>
      </x:c>
      <x:c r="F233" s="1042" t="n">
        <x:f>E233*(1+F10)</x:f>
      </x:c>
      <x:c r="G233" s="1042" t="n">
        <x:f>F233*(1+G10)</x:f>
      </x:c>
      <x:c r="H233" s="1042" t="n">
        <x:f>G233*(1+H10)</x:f>
      </x:c>
      <x:c r="I233" s="1042" t="n">
        <x:f>H233*(1+I10)</x:f>
      </x:c>
    </x:row>
    <x:row r="234" outlineLevel="1">
      <x:c r="A234" s="839" t="str">
        <x:v>Beginning Capacity</x:v>
      </x:c>
      <x:c r="E234" s="1042" t="n">
        <x:f>D236</x:f>
      </x:c>
      <x:c r="F234" s="1042" t="n">
        <x:f>E236</x:f>
      </x:c>
      <x:c r="G234" s="1042" t="n">
        <x:f>F236</x:f>
      </x:c>
      <x:c r="H234" s="1042" t="n">
        <x:f>G236</x:f>
      </x:c>
      <x:c r="I234" s="1042" t="n">
        <x:f>H236</x:f>
      </x:c>
    </x:row>
    <x:row r="235" outlineLevel="1">
      <x:c r="A235" s="839" t="str">
        <x:v>Capacity Added</x:v>
      </x:c>
      <x:c r="E235" s="1077" t="n">
        <x:f>IF(D237&gt;'01_Inputs_Historicals'!$C$92,'01_Inputs_Historicals'!$C$93,0)</x:f>
      </x:c>
      <x:c r="F235" s="1077" t="n">
        <x:f>IF(E237&gt;'01_Inputs_Historicals'!$C$92,'01_Inputs_Historicals'!$C$93,0)</x:f>
      </x:c>
      <x:c r="G235" s="1077" t="n">
        <x:f>IF(F237&gt;'01_Inputs_Historicals'!$C$92,'01_Inputs_Historicals'!$C$93,0)</x:f>
      </x:c>
      <x:c r="H235" s="1077" t="n">
        <x:f>IF(G237&gt;'01_Inputs_Historicals'!$C$92,'01_Inputs_Historicals'!$C$93,0)</x:f>
      </x:c>
      <x:c r="I235" s="1077" t="n">
        <x:f>IF(H237&gt;'01_Inputs_Historicals'!$C$92,'01_Inputs_Historicals'!$C$93,0)</x:f>
      </x:c>
    </x:row>
    <x:row r="236" outlineLevel="1">
      <x:c r="A236" s="839" t="str">
        <x:v>Ending Capacity</x:v>
      </x:c>
      <x:c r="D236" s="1048" t="n">
        <x:f>D12</x:f>
      </x:c>
      <x:c r="E236" s="1042" t="n">
        <x:f>E234+E235</x:f>
      </x:c>
      <x:c r="F236" s="1042" t="n">
        <x:f>F234+F235</x:f>
      </x:c>
      <x:c r="G236" s="1042" t="n">
        <x:f>G234+G235</x:f>
      </x:c>
      <x:c r="H236" s="1042" t="n">
        <x:f>H234+H235</x:f>
      </x:c>
      <x:c r="I236" s="1042" t="n">
        <x:f>I234+I235</x:f>
      </x:c>
    </x:row>
    <x:row r="237" outlineLevel="1">
      <x:c r="A237" s="839" t="str">
        <x:v>Utilisation on Demand</x:v>
      </x:c>
      <x:c r="D237" s="1048" t="n">
        <x:f>D233/D236</x:f>
      </x:c>
      <x:c r="E237" s="1042" t="n">
        <x:f>E233/E236</x:f>
      </x:c>
      <x:c r="F237" s="1042" t="n">
        <x:f>F233/F236</x:f>
      </x:c>
      <x:c r="G237" s="1042" t="n">
        <x:f>G233/G236</x:f>
      </x:c>
      <x:c r="H237" s="1042" t="n">
        <x:f>H233/H236</x:f>
      </x:c>
      <x:c r="I237" s="1042" t="n">
        <x:f>I233/I236</x:f>
      </x:c>
    </x:row>
    <x:row r="238" outlineLevel="1">
      <x:c r="A238" s="839" t="str">
        <x:v>Sales Volume (Capacity Constrained)</x:v>
      </x:c>
      <x:c r="E238" s="1042" t="n">
        <x:f>MIN(E233,E236)</x:f>
      </x:c>
      <x:c r="F238" s="1042" t="n">
        <x:f>MIN(F233,F236)</x:f>
      </x:c>
      <x:c r="G238" s="1042" t="n">
        <x:f>MIN(G233,G236)</x:f>
      </x:c>
      <x:c r="H238" s="1042" t="n">
        <x:f>MIN(H233,H236)</x:f>
      </x:c>
      <x:c r="I238" s="1042" t="n">
        <x:f>MIN(I233,I236)</x:f>
      </x:c>
    </x:row>
    <x:row r="239" outlineLevel="1">
      <x:c r="A239" s="839" t="str">
        <x:v>Unmet Demand (units/day)</x:v>
      </x:c>
      <x:c r="E239" s="1042" t="n">
        <x:f>MAX(0,E233-E236)</x:f>
      </x:c>
      <x:c r="F239" s="1042" t="n">
        <x:f>MAX(0,F233-F236)</x:f>
      </x:c>
      <x:c r="G239" s="1042" t="n">
        <x:f>MAX(0,G233-G236)</x:f>
      </x:c>
      <x:c r="H239" s="1042" t="n">
        <x:f>MAX(0,H233-H236)</x:f>
      </x:c>
      <x:c r="I239" s="1042" t="n">
        <x:f>MAX(0,I233-I236)</x:f>
      </x:c>
    </x:row>
    <x:row r="241" outlineLevel="1">
      <x:c r="A241" s="839" t="str">
        <x:v>Maintenance Capex</x:v>
      </x:c>
      <x:c r="E241" s="1099" t="n">
        <x:f>E30*'01_Inputs_Historicals'!C48</x:f>
      </x:c>
      <x:c r="F241" s="1099" t="n">
        <x:f>F30*'01_Inputs_Historicals'!D48</x:f>
      </x:c>
      <x:c r="G241" s="1099" t="n">
        <x:f>G30*'01_Inputs_Historicals'!E48</x:f>
      </x:c>
      <x:c r="H241" s="1099" t="n">
        <x:f>H30*'01_Inputs_Historicals'!F48</x:f>
      </x:c>
      <x:c r="I241" s="1099" t="n">
        <x:f>I30*'01_Inputs_Historicals'!G48</x:f>
      </x:c>
    </x:row>
    <x:row r="242" outlineLevel="1">
      <x:c r="A242" s="839" t="str">
        <x:v>Expansion Capex</x:v>
      </x:c>
      <x:c r="E242" s="1099" t="n">
        <x:f>IF('01_Inputs_Historicals'!$C$98="Growth-Margin",0,E235*'01_Inputs_Historicals'!$C$94)</x:f>
      </x:c>
      <x:c r="F242" s="1099" t="n">
        <x:f>IF('01_Inputs_Historicals'!$C$98="Growth-Margin",0,F235*'01_Inputs_Historicals'!$C$94)</x:f>
      </x:c>
      <x:c r="G242" s="1099" t="n">
        <x:f>IF('01_Inputs_Historicals'!$C$98="Growth-Margin",0,G235*'01_Inputs_Historicals'!$C$94)</x:f>
      </x:c>
      <x:c r="H242" s="1099" t="n">
        <x:f>IF('01_Inputs_Historicals'!$C$98="Growth-Margin",0,H235*'01_Inputs_Historicals'!$C$94)</x:f>
      </x:c>
      <x:c r="I242" s="1099" t="n">
        <x:f>IF('01_Inputs_Historicals'!$C$98="Growth-Margin",0,I235*'01_Inputs_Historicals'!$C$94)</x:f>
      </x:c>
    </x:row>
    <x:row r="243" outlineLevel="1">
      <x:c r="A243" s="839" t="str">
        <x:v>Total Capital Expenditure</x:v>
      </x:c>
      <x:c r="E243" s="1079" t="n">
        <x:f>E241+E242</x:f>
      </x:c>
      <x:c r="F243" s="1079" t="n">
        <x:f>F241+F242</x:f>
      </x:c>
      <x:c r="G243" s="1079" t="n">
        <x:f>G241+G242</x:f>
      </x:c>
      <x:c r="H243" s="1079" t="n">
        <x:f>H241+H242</x:f>
      </x:c>
      <x:c r="I243" s="1079" t="n">
        <x:f>I241+I242</x:f>
      </x:c>
    </x:row>
    <x:row r="245" outlineLevel="1">
      <x:c r="A245" s="839" t="str">
        <x:v>Capacity Schedule Check</x:v>
      </x:c>
      <x:c r="E245" s="841" t="str">
        <x:f>IF('01_Inputs_Historicals'!$C$98="Growth-Margin","N/A",IF(AND(ABS(E236-(E234+E235))&lt;0.01,ABS(E238-MIN(E233,E236))&lt;0.01,ABS(E243-(E241+E242))&lt;0.01),"OK","CHECK"))</x:f>
      </x:c>
      <x:c r="F245" s="841" t="str">
        <x:f>IF('01_Inputs_Historicals'!$C$98="Growth-Margin","N/A",IF(AND(ABS(F236-(F234+F235))&lt;0.01,ABS(F238-MIN(F233,F236))&lt;0.01,ABS(F243-(F241+F242))&lt;0.01),"OK","CHECK"))</x:f>
      </x:c>
      <x:c r="G245" s="841" t="str">
        <x:f>IF('01_Inputs_Historicals'!$C$98="Growth-Margin","N/A",IF(AND(ABS(G236-(G234+G235))&lt;0.01,ABS(G238-MIN(G233,G236))&lt;0.01,ABS(G243-(G241+G242))&lt;0.01),"OK","CHECK"))</x:f>
      </x:c>
      <x:c r="H245" s="841" t="str">
        <x:f>IF('01_Inputs_Historicals'!$C$98="Growth-Margin","N/A",IF(AND(ABS(H236-(H234+H235))&lt;0.01,ABS(H238-MIN(H233,H236))&lt;0.01,ABS(H243-(H241+H242))&lt;0.01),"OK","CHECK"))</x:f>
      </x:c>
      <x:c r="I245" s="841" t="str">
        <x:f>IF('01_Inputs_Historicals'!$C$98="Growth-Margin","N/A",IF(AND(ABS(I236-(I234+I235))&lt;0.01,ABS(I238-MIN(I233,I236))&lt;0.01,ABS(I243-(I241+I242))&lt;0.01),"OK","CHECK"))</x:f>
      </x:c>
    </x:row>
    <x:row r="247">
      <x:c r="A247" s="489" t="str">
        <x:v>Growth-Margin Revenue Engine (alternative input mode)</x:v>
      </x:c>
      <x:c r="B247" s="489"/>
      <x:c r="C247" s="489"/>
      <x:c r="D247" s="489"/>
      <x:c r="E247" s="490"/>
      <x:c r="F247" s="489"/>
      <x:c r="G247" s="489"/>
      <x:c r="H247" s="489"/>
      <x:c r="I247" s="489"/>
    </x:row>
    <x:row r="248" outlineLevel="1">
      <x:c r="A248" s="839" t="str">
        <x:v>Revenue (Growth-Margin)</x:v>
      </x:c>
      <x:c r="D248" s="1048" t="n">
        <x:f>D30</x:f>
      </x:c>
      <x:c r="E248" s="1077" t="n">
        <x:f>D248*(1+'01_Inputs_Historicals'!C100+IF('00_Dashboard'!$B$8="Bull",'01_Inputs_Historicals'!$D$72,IF('00_Dashboard'!$B$8="Bear",'01_Inputs_Historicals'!$B$72,0)))</x:f>
      </x:c>
      <x:c r="F248" s="1077" t="n">
        <x:f>E248*(1+'01_Inputs_Historicals'!D100+IF('00_Dashboard'!$B$8="Bull",'01_Inputs_Historicals'!$D$72,IF('00_Dashboard'!$B$8="Bear",'01_Inputs_Historicals'!$B$72,0)))</x:f>
      </x:c>
      <x:c r="G248" s="1077" t="n">
        <x:f>F248*(1+'01_Inputs_Historicals'!E100+IF('00_Dashboard'!$B$8="Bull",'01_Inputs_Historicals'!$D$72,IF('00_Dashboard'!$B$8="Bear",'01_Inputs_Historicals'!$B$72,0)))</x:f>
      </x:c>
      <x:c r="H248" s="1077" t="n">
        <x:f>G248*(1+'01_Inputs_Historicals'!F100+IF('00_Dashboard'!$B$8="Bull",'01_Inputs_Historicals'!$D$72,IF('00_Dashboard'!$B$8="Bear",'01_Inputs_Historicals'!$B$72,0)))</x:f>
      </x:c>
      <x:c r="I248" s="1077" t="n">
        <x:f>H248*(1+'01_Inputs_Historicals'!G100+IF('00_Dashboard'!$B$8="Bull",'01_Inputs_Historicals'!$D$72,IF('00_Dashboard'!$B$8="Bear",'01_Inputs_Historicals'!$B$72,0)))</x:f>
      </x:c>
    </x:row>
    <x:row r="249" outlineLevel="1">
      <x:c r="A249" s="839" t="str">
        <x:v>COGS (Growth-Margin)</x:v>
      </x:c>
      <x:c r="E249" s="1077" t="n">
        <x:f>E248*'01_Inputs_Historicals'!C101*(1-IF('00_Dashboard'!$B$8="Bull",'01_Inputs_Historicals'!$D$74,IF('00_Dashboard'!$B$8="Bear",'01_Inputs_Historicals'!$B$74,0)))</x:f>
      </x:c>
      <x:c r="F249" s="1077" t="n">
        <x:f>F248*'01_Inputs_Historicals'!D101*(1-IF('00_Dashboard'!$B$8="Bull",'01_Inputs_Historicals'!$D$74,IF('00_Dashboard'!$B$8="Bear",'01_Inputs_Historicals'!$B$74,0)))</x:f>
      </x:c>
      <x:c r="G249" s="1077" t="n">
        <x:f>G248*'01_Inputs_Historicals'!E101*(1-IF('00_Dashboard'!$B$8="Bull",'01_Inputs_Historicals'!$D$74,IF('00_Dashboard'!$B$8="Bear",'01_Inputs_Historicals'!$B$74,0)))</x:f>
      </x:c>
      <x:c r="H249" s="1077" t="n">
        <x:f>H248*'01_Inputs_Historicals'!F101*(1-IF('00_Dashboard'!$B$8="Bull",'01_Inputs_Historicals'!$D$74,IF('00_Dashboard'!$B$8="Bear",'01_Inputs_Historicals'!$B$74,0)))</x:f>
      </x:c>
      <x:c r="I249" s="1077" t="n">
        <x:f>I248*'01_Inputs_Historicals'!G101*(1-IF('00_Dashboard'!$B$8="Bull",'01_Inputs_Historicals'!$D$74,IF('00_Dashboard'!$B$8="Bear",'01_Inputs_Historicals'!$B$74,0)))</x:f>
      </x:c>
    </x:row>
    <x:row r="250" outlineLevel="1">
      <x:c r="A250" s="839" t="str">
        <x:v>Active Revenue Engine</x:v>
      </x:c>
      <x:c r="E250" s="841" t="str">
        <x:f>IF('01_Inputs_Historicals'!$C$98="Growth-Margin","Growth-Margin","Unit Economics")</x:f>
      </x:c>
      <x:c r="F250" s="841" t="str">
        <x:f>IF('01_Inputs_Historicals'!$C$98="Growth-Margin","Growth-Margin","Unit Economics")</x:f>
      </x:c>
      <x:c r="G250" s="841" t="str">
        <x:f>IF('01_Inputs_Historicals'!$C$98="Growth-Margin","Growth-Margin","Unit Economics")</x:f>
      </x:c>
      <x:c r="H250" s="841" t="str">
        <x:f>IF('01_Inputs_Historicals'!$C$98="Growth-Margin","Growth-Margin","Unit Economics")</x:f>
      </x:c>
      <x:c r="I250" s="841" t="str">
        <x:f>IF('01_Inputs_Historicals'!$C$98="Growth-Margin","Growth-Margin","Unit Economics")</x:f>
      </x:c>
    </x:row>
  </x:sheetData>
  <x:mergeCells>
    <x:mergeCell ref="A1:I1"/>
    <x:mergeCell ref="A20:I20"/>
    <x:mergeCell ref="A35:I35"/>
    <x:mergeCell ref="A48:I48"/>
    <x:mergeCell ref="A82:I82"/>
    <x:mergeCell ref="A6:I6"/>
    <x:mergeCell ref="A37:I37"/>
    <x:mergeCell ref="A83:I83"/>
    <x:mergeCell ref="A110:I110"/>
    <x:mergeCell ref="A150:I150"/>
    <x:mergeCell ref="A174:I174"/>
    <x:mergeCell ref="A188:I188"/>
    <x:mergeCell ref="A222:I222"/>
    <x:mergeCell ref="A231:I231"/>
    <x:mergeCell ref="A247:I247"/>
  </x:mergeCells>
  <x:conditionalFormatting sqref="E46:I46">
    <x:cfRule type="expression" dxfId="10" priority="5">
      <x:formula>E46="OK"</x:formula>
    </x:cfRule>
    <x:cfRule type="expression" dxfId="11" priority="6">
      <x:formula>E46="CHECK"</x:formula>
    </x:cfRule>
  </x:conditionalFormatting>
  <x:conditionalFormatting sqref="E18:I18">
    <x:cfRule type="expression" dxfId="12" priority="7">
      <x:formula>E18="OK"</x:formula>
    </x:cfRule>
    <x:cfRule type="expression" dxfId="13" priority="8">
      <x:formula>E18="CHECK"</x:formula>
    </x:cfRule>
  </x:conditionalFormatting>
  <x:conditionalFormatting sqref="E65:I65">
    <x:cfRule type="expression" dxfId="14" priority="9">
      <x:formula>E65="OK"</x:formula>
    </x:cfRule>
    <x:cfRule type="expression" dxfId="15" priority="10">
      <x:formula>E65="CHECK"</x:formula>
    </x:cfRule>
  </x:conditionalFormatting>
  <x:conditionalFormatting sqref="E78:I78">
    <x:cfRule type="expression" dxfId="16" priority="11">
      <x:formula>E78="OK"</x:formula>
    </x:cfRule>
    <x:cfRule type="expression" dxfId="17" priority="12">
      <x:formula>E78="CHECK"</x:formula>
    </x:cfRule>
  </x:conditionalFormatting>
  <x:conditionalFormatting sqref="E56:I56">
    <x:cfRule type="expression" dxfId="18" priority="13">
      <x:formula>E56="OK"</x:formula>
    </x:cfRule>
    <x:cfRule type="expression" dxfId="19" priority="14">
      <x:formula>E56="CHECK"</x:formula>
    </x:cfRule>
  </x:conditionalFormatting>
  <x:conditionalFormatting sqref="E33:I33">
    <x:cfRule type="expression" dxfId="40" priority="15">
      <x:formula>E33="OK"</x:formula>
    </x:cfRule>
    <x:cfRule type="expression" dxfId="41" priority="16">
      <x:formula>E33="CHECK"</x:formula>
    </x:cfRule>
  </x:conditionalFormatting>
  <x:conditionalFormatting sqref="E79:I79">
    <x:cfRule type="expression" dxfId="42" priority="17">
      <x:formula>E79="OK"</x:formula>
    </x:cfRule>
    <x:cfRule type="expression" dxfId="43" priority="18">
      <x:formula>E79="CHECK"</x:formula>
    </x:cfRule>
  </x:conditionalFormatting>
  <x:conditionalFormatting sqref="E106:I106">
    <x:cfRule type="expression" dxfId="44" priority="19">
      <x:formula>E106="OK"</x:formula>
    </x:cfRule>
    <x:cfRule type="expression" dxfId="45" priority="20">
      <x:formula>E106="CHECK"</x:formula>
    </x:cfRule>
  </x:conditionalFormatting>
  <x:conditionalFormatting sqref="E146:I146">
    <x:cfRule type="expression" dxfId="46" priority="21">
      <x:formula>E146="OK"</x:formula>
    </x:cfRule>
    <x:cfRule type="expression" dxfId="47" priority="22">
      <x:formula>E146="CHECK"</x:formula>
    </x:cfRule>
  </x:conditionalFormatting>
  <x:conditionalFormatting sqref="E170:I170">
    <x:cfRule type="expression" dxfId="48" priority="23">
      <x:formula>E170="OK"</x:formula>
    </x:cfRule>
    <x:cfRule type="expression" dxfId="49" priority="24">
      <x:formula>E170="CHECK"</x:formula>
    </x:cfRule>
  </x:conditionalFormatting>
  <x:conditionalFormatting sqref="E184:I184">
    <x:cfRule type="expression" dxfId="50" priority="25">
      <x:formula>E184="OK"</x:formula>
    </x:cfRule>
    <x:cfRule type="expression" dxfId="51" priority="26">
      <x:formula>E184="CHECK"</x:formula>
    </x:cfRule>
  </x:conditionalFormatting>
  <x:conditionalFormatting sqref="E218:I218">
    <x:cfRule type="expression" dxfId="52" priority="27">
      <x:formula>E218="OK"</x:formula>
    </x:cfRule>
    <x:cfRule type="expression" dxfId="53" priority="28">
      <x:formula>E218="CHECK"</x:formula>
    </x:cfRule>
  </x:conditionalFormatting>
  <x:conditionalFormatting sqref="E227:I227">
    <x:cfRule type="expression" dxfId="58" priority="29">
      <x:formula>E227="OK"</x:formula>
    </x:cfRule>
    <x:cfRule type="expression" dxfId="59" priority="30">
      <x:formula>E227="CHECK"</x:formula>
    </x:cfRule>
  </x:conditionalFormatting>
  <x:conditionalFormatting sqref="E245:I245">
    <x:cfRule type="expression" dxfId="10" priority="101">
      <x:formula>E245="OK"</x:formula>
    </x:cfRule>
    <x:cfRule type="expression" dxfId="11" priority="102">
      <x:formula>E245="CHECK"</x:formula>
    </x:cfRule>
  </x:conditionalFormatting>
  <x:conditionalFormatting sqref="E32:I32">
    <x:cfRule type="expression" dxfId="11" priority="103">
      <x:formula>E32="YES"</x:formula>
    </x:cfRule>
    <x:cfRule type="expression" dxfId="10" priority="104">
      <x:formula>E32="-"</x:formula>
    </x:cfRule>
  </x:conditionalFormatting>
  <x:conditionalFormatting sqref="E239:I239">
    <x:cfRule type="expression" dxfId="11" priority="105">
      <x:formula>E239&gt;0</x:formula>
    </x:cfRule>
  </x:conditionalFormatting>
  <x:pageMargins left="0.7" right="0.7" top="0.75" bottom="0.75" header="0.3" footer="0.3"/>
  <x:drawing xmlns:r="http://schemas.openxmlformats.org/officeDocument/2006/relationships" r:id="Rb4bb2eb6d45d477d"/>
</x:worksheet>
</file>

<file path=xl/worksheets/sheet4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240" t="str">
        <x:v>Integrated 3-Statement Model</x:v>
      </x:c>
      <x:c r="B1" s="240"/>
      <x:c r="C1" s="240"/>
      <x:c r="D1" s="240"/>
      <x:c r="E1" s="240"/>
      <x:c r="F1" s="240"/>
      <x:c r="G1" s="240"/>
      <x:c r="H1" s="240"/>
      <x:c r="I1" s="240"/>
      <x:c r="J1" s="335"/>
      <x:c r="K1" s="335"/>
      <x:c r="L1" s="335"/>
      <x:c r="M1" s="335"/>
      <x:c r="N1" s="335"/>
      <x:c r="O1" s="335"/>
      <x:c r="P1" s="335"/>
      <x:c r="Q1" s="335"/>
      <x:c r="R1" s="335"/>
      <x:c r="S1" s="335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335"/>
      <x:c r="L2" s="335"/>
      <x:c r="M2" s="335"/>
      <x:c r="N2" s="335"/>
      <x:c r="O2" s="335"/>
      <x:c r="P2" s="335"/>
      <x:c r="Q2" s="335"/>
      <x:c r="R2" s="335"/>
      <x:c r="S2" s="335"/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335"/>
      <x:c r="L3" s="335"/>
      <x:c r="M3" s="335"/>
      <x:c r="N3" s="335"/>
      <x:c r="O3" s="335"/>
      <x:c r="P3" s="335"/>
      <x:c r="Q3" s="335"/>
      <x:c r="R3" s="335"/>
      <x:c r="S3" s="335"/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335"/>
      <x:c r="L4" s="335"/>
      <x:c r="M4" s="335"/>
      <x:c r="N4" s="335"/>
      <x:c r="O4" s="335"/>
      <x:c r="P4" s="335"/>
      <x:c r="Q4" s="335"/>
      <x:c r="R4" s="335"/>
      <x:c r="S4" s="335"/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335"/>
      <x:c r="L5" s="335"/>
      <x:c r="M5" s="335"/>
      <x:c r="N5" s="335"/>
      <x:c r="O5" s="335"/>
      <x:c r="P5" s="335"/>
      <x:c r="Q5" s="335"/>
      <x:c r="R5" s="335"/>
      <x:c r="S5" s="335"/>
    </x:row>
    <x:row r="6">
      <x:c r="A6" s="333" t="str">
        <x:v>Income Statement</x:v>
      </x:c>
      <x:c r="B6" s="333"/>
      <x:c r="C6" s="333"/>
      <x:c r="D6" s="333"/>
      <x:c r="E6" s="334"/>
      <x:c r="F6" s="333"/>
      <x:c r="G6" s="333"/>
      <x:c r="H6" s="333"/>
      <x:c r="I6" s="333"/>
      <x:c r="J6" s="335"/>
      <x:c r="K6" s="335"/>
      <x:c r="L6" s="335"/>
      <x:c r="M6" s="335"/>
      <x:c r="N6" s="335"/>
      <x:c r="O6" s="335"/>
      <x:c r="P6" s="335"/>
      <x:c r="Q6" s="335"/>
      <x:c r="R6" s="335"/>
      <x:c r="S6" s="335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335"/>
      <x:c r="L7" s="335"/>
      <x:c r="M7" s="335"/>
      <x:c r="N7" s="335"/>
      <x:c r="O7" s="335"/>
      <x:c r="P7" s="335"/>
      <x:c r="Q7" s="335"/>
      <x:c r="R7" s="335"/>
      <x:c r="S7" s="335"/>
    </x:row>
    <x:row r="8" outlineLevel="1">
      <x:c r="A8" s="839" t="str">
        <x:v>Revenue</x:v>
      </x:c>
      <x:c r="B8" s="1081" t="n">
        <x:f>'01_Inputs_Historicals'!B18</x:f>
      </x:c>
      <x:c r="C8" s="1081" t="n">
        <x:f>'01_Inputs_Historicals'!C18</x:f>
      </x:c>
      <x:c r="D8" s="1081" t="n">
        <x:f>'01_Inputs_Historicals'!D18</x:f>
      </x:c>
      <x:c r="E8" s="1100" t="n">
        <x:f>'02_Operating_Model'!E30</x:f>
      </x:c>
      <x:c r="F8" s="1101" t="n">
        <x:f>'02_Operating_Model'!F30</x:f>
      </x:c>
      <x:c r="G8" s="1101" t="n">
        <x:f>'02_Operating_Model'!G30</x:f>
      </x:c>
      <x:c r="H8" s="1101" t="n">
        <x:f>'02_Operating_Model'!H30</x:f>
      </x:c>
      <x:c r="I8" s="1101" t="n">
        <x:f>'02_Operating_Model'!I30</x:f>
      </x:c>
      <x:c r="J8" s="335"/>
      <x:c r="K8" s="335"/>
      <x:c r="L8" s="335"/>
      <x:c r="M8" s="335"/>
      <x:c r="N8" s="335"/>
      <x:c r="O8" s="335"/>
      <x:c r="P8" s="335"/>
      <x:c r="Q8" s="335"/>
      <x:c r="R8" s="335"/>
      <x:c r="S8" s="335"/>
    </x:row>
    <x:row r="9" outlineLevel="1">
      <x:c r="A9" s="839" t="str">
        <x:v>COGS</x:v>
      </x:c>
      <x:c r="B9" s="1081" t="n">
        <x:f>-'02_Operating_Model'!B78</x:f>
      </x:c>
      <x:c r="C9" s="1081" t="n">
        <x:f>-'02_Operating_Model'!C78</x:f>
      </x:c>
      <x:c r="D9" s="1081" t="n">
        <x:f>-'02_Operating_Model'!D78</x:f>
      </x:c>
      <x:c r="E9" s="1100" t="n">
        <x:f>-'02_Operating_Model'!E78</x:f>
      </x:c>
      <x:c r="F9" s="1101" t="n">
        <x:f>-'02_Operating_Model'!F78</x:f>
      </x:c>
      <x:c r="G9" s="1101" t="n">
        <x:f>-'02_Operating_Model'!G78</x:f>
      </x:c>
      <x:c r="H9" s="1101" t="n">
        <x:f>-'02_Operating_Model'!H78</x:f>
      </x:c>
      <x:c r="I9" s="1101" t="n">
        <x:f>-'02_Operating_Model'!I78</x:f>
      </x:c>
      <x:c r="J9" s="335"/>
      <x:c r="K9" s="335"/>
      <x:c r="L9" s="335"/>
      <x:c r="M9" s="335"/>
      <x:c r="N9" s="335"/>
      <x:c r="O9" s="335"/>
      <x:c r="P9" s="335"/>
      <x:c r="Q9" s="335"/>
      <x:c r="R9" s="335"/>
      <x:c r="S9" s="335"/>
    </x:row>
    <x:row r="10" outlineLevel="1">
      <x:c r="A10" s="886" t="str">
        <x:v>Gross Profit</x:v>
      </x:c>
      <x:c r="B10" s="1051" t="n">
        <x:f>B8+B9</x:f>
      </x:c>
      <x:c r="C10" s="1051" t="n">
        <x:f>C8+C9</x:f>
      </x:c>
      <x:c r="D10" s="1051" t="n">
        <x:f>D8+D9</x:f>
      </x:c>
      <x:c r="E10" s="1050" t="n">
        <x:f>E8+E9</x:f>
      </x:c>
      <x:c r="F10" s="1051" t="n">
        <x:f>F8+F9</x:f>
      </x:c>
      <x:c r="G10" s="1051" t="n">
        <x:f>G8+G9</x:f>
      </x:c>
      <x:c r="H10" s="1051" t="n">
        <x:f>H8+H9</x:f>
      </x:c>
      <x:c r="I10" s="1051" t="n">
        <x:f>I8+I9</x:f>
      </x:c>
      <x:c r="J10" s="335"/>
      <x:c r="K10" s="335"/>
      <x:c r="L10" s="335"/>
      <x:c r="M10" s="335"/>
      <x:c r="N10" s="335"/>
      <x:c r="O10" s="335"/>
      <x:c r="P10" s="335"/>
      <x:c r="Q10" s="335"/>
      <x:c r="R10" s="335"/>
      <x:c r="S10" s="335"/>
    </x:row>
    <x:row r="11" outlineLevel="1">
      <x:c r="A11" s="839"/>
      <x:c r="B11" s="860"/>
      <x:c r="C11" s="860"/>
      <x:c r="D11" s="860"/>
      <x:c r="E11" s="859"/>
      <x:c r="F11" s="860"/>
      <x:c r="G11" s="860"/>
      <x:c r="H11" s="860"/>
      <x:c r="I11" s="860"/>
      <x:c r="J11" s="335"/>
      <x:c r="K11" s="335"/>
      <x:c r="L11" s="335"/>
      <x:c r="M11" s="335"/>
      <x:c r="N11" s="335"/>
      <x:c r="O11" s="335"/>
      <x:c r="P11" s="335"/>
      <x:c r="Q11" s="335"/>
      <x:c r="R11" s="335"/>
      <x:c r="S11" s="335"/>
    </x:row>
    <x:row r="12" outlineLevel="1">
      <x:c r="A12" s="839" t="str">
        <x:v>SG&amp;A</x:v>
      </x:c>
      <x:c r="B12" s="1081" t="n">
        <x:f>'01_Inputs_Historicals'!B19</x:f>
      </x:c>
      <x:c r="C12" s="1081" t="n">
        <x:f>'01_Inputs_Historicals'!C19</x:f>
      </x:c>
      <x:c r="D12" s="1081" t="n">
        <x:f>'01_Inputs_Historicals'!D19</x:f>
      </x:c>
      <x:c r="E12" s="1100" t="n">
        <x:f>-E8*'01_Inputs_Historicals'!C43</x:f>
      </x:c>
      <x:c r="F12" s="1101" t="n">
        <x:f>-F8*'01_Inputs_Historicals'!D43</x:f>
      </x:c>
      <x:c r="G12" s="1101" t="n">
        <x:f>-G8*'01_Inputs_Historicals'!E43</x:f>
      </x:c>
      <x:c r="H12" s="1101" t="n">
        <x:f>-H8*'01_Inputs_Historicals'!F43</x:f>
      </x:c>
      <x:c r="I12" s="1101" t="n">
        <x:f>-I8*'01_Inputs_Historicals'!G43</x:f>
      </x:c>
      <x:c r="J12" s="335"/>
      <x:c r="K12" s="335"/>
      <x:c r="L12" s="335"/>
      <x:c r="M12" s="335"/>
      <x:c r="N12" s="335"/>
      <x:c r="O12" s="335"/>
      <x:c r="P12" s="335"/>
      <x:c r="Q12" s="335"/>
      <x:c r="R12" s="335"/>
      <x:c r="S12" s="335"/>
    </x:row>
    <x:row r="13" outlineLevel="1">
      <x:c r="A13" s="839" t="str">
        <x:v>Other OpEx</x:v>
      </x:c>
      <x:c r="B13" s="1081" t="n">
        <x:f>'01_Inputs_Historicals'!B20</x:f>
      </x:c>
      <x:c r="C13" s="1081" t="n">
        <x:f>'01_Inputs_Historicals'!C20</x:f>
      </x:c>
      <x:c r="D13" s="1081" t="n">
        <x:f>'01_Inputs_Historicals'!D20</x:f>
      </x:c>
      <x:c r="E13" s="1100" t="n">
        <x:f>-E8*'01_Inputs_Historicals'!C44</x:f>
      </x:c>
      <x:c r="F13" s="1101" t="n">
        <x:f>-F8*'01_Inputs_Historicals'!D44</x:f>
      </x:c>
      <x:c r="G13" s="1101" t="n">
        <x:f>-G8*'01_Inputs_Historicals'!E44</x:f>
      </x:c>
      <x:c r="H13" s="1101" t="n">
        <x:f>-H8*'01_Inputs_Historicals'!F44</x:f>
      </x:c>
      <x:c r="I13" s="1101" t="n">
        <x:f>-I8*'01_Inputs_Historicals'!G44</x:f>
      </x:c>
      <x:c r="J13" s="335"/>
      <x:c r="K13" s="335"/>
      <x:c r="L13" s="335"/>
      <x:c r="M13" s="335"/>
      <x:c r="N13" s="335"/>
      <x:c r="O13" s="335"/>
      <x:c r="P13" s="335"/>
      <x:c r="Q13" s="335"/>
      <x:c r="R13" s="335"/>
      <x:c r="S13" s="335"/>
    </x:row>
    <x:row r="14" outlineLevel="1">
      <x:c r="A14" s="839"/>
      <x:c r="B14" s="860"/>
      <x:c r="C14" s="860"/>
      <x:c r="D14" s="860"/>
      <x:c r="E14" s="896"/>
      <x:c r="F14" s="897"/>
      <x:c r="G14" s="897"/>
      <x:c r="H14" s="897"/>
      <x:c r="I14" s="897"/>
      <x:c r="J14" s="335"/>
      <x:c r="K14" s="335"/>
      <x:c r="L14" s="335"/>
      <x:c r="M14" s="335"/>
      <x:c r="N14" s="335"/>
      <x:c r="O14" s="335"/>
      <x:c r="P14" s="335"/>
      <x:c r="Q14" s="335"/>
      <x:c r="R14" s="335"/>
      <x:c r="S14" s="335"/>
    </x:row>
    <x:row r="15" outlineLevel="1">
      <x:c r="A15" s="886" t="str">
        <x:v>EBITDA</x:v>
      </x:c>
      <x:c r="B15" s="1051" t="n">
        <x:f>SUM(B10,B12:B13)</x:f>
      </x:c>
      <x:c r="C15" s="1051" t="n">
        <x:f>SUM(C10,C12:C13)</x:f>
      </x:c>
      <x:c r="D15" s="1051" t="n">
        <x:f>SUM(D10,D12:D13)</x:f>
      </x:c>
      <x:c r="E15" s="1050" t="n">
        <x:f>SUM(E10,E12:E13)</x:f>
      </x:c>
      <x:c r="F15" s="1051" t="n">
        <x:f>SUM(F10,F12:F13)</x:f>
      </x:c>
      <x:c r="G15" s="1051" t="n">
        <x:f>SUM(G10,G12:G13)</x:f>
      </x:c>
      <x:c r="H15" s="1051" t="n">
        <x:f>SUM(H10,H12:H13)</x:f>
      </x:c>
      <x:c r="I15" s="1051" t="n">
        <x:f>SUM(I10,I12:I13)</x:f>
      </x:c>
      <x:c r="J15" s="335"/>
      <x:c r="K15" s="335"/>
      <x:c r="L15" s="335"/>
      <x:c r="M15" s="335"/>
      <x:c r="N15" s="335"/>
      <x:c r="O15" s="335"/>
      <x:c r="P15" s="335"/>
      <x:c r="Q15" s="335"/>
      <x:c r="R15" s="335"/>
      <x:c r="S15" s="335"/>
    </x:row>
    <x:row r="16" outlineLevel="1">
      <x:c r="A16" s="839" t="str">
        <x:v>Depreciation</x:v>
      </x:c>
      <x:c r="B16" s="1081" t="n">
        <x:f>'01_Inputs_Historicals'!B21</x:f>
      </x:c>
      <x:c r="C16" s="1081" t="n">
        <x:f>'01_Inputs_Historicals'!C21</x:f>
      </x:c>
      <x:c r="D16" s="1081" t="n">
        <x:f>'01_Inputs_Historicals'!D21</x:f>
      </x:c>
      <x:c r="E16" s="1100" t="n">
        <x:f>'02_Operating_Model'!E160</x:f>
      </x:c>
      <x:c r="F16" s="1101" t="n">
        <x:f>'02_Operating_Model'!F160</x:f>
      </x:c>
      <x:c r="G16" s="1101" t="n">
        <x:f>'02_Operating_Model'!G160</x:f>
      </x:c>
      <x:c r="H16" s="1101" t="n">
        <x:f>'02_Operating_Model'!H160</x:f>
      </x:c>
      <x:c r="I16" s="1101" t="n">
        <x:f>'02_Operating_Model'!I160</x:f>
      </x:c>
      <x:c r="J16" s="335"/>
      <x:c r="K16" s="335"/>
      <x:c r="L16" s="335"/>
      <x:c r="M16" s="335"/>
      <x:c r="N16" s="335"/>
      <x:c r="O16" s="335"/>
      <x:c r="P16" s="335"/>
      <x:c r="Q16" s="335"/>
      <x:c r="R16" s="335"/>
      <x:c r="S16" s="335"/>
    </x:row>
    <x:row r="17" outlineLevel="1">
      <x:c r="A17" s="886" t="str">
        <x:v>EBIT</x:v>
      </x:c>
      <x:c r="B17" s="1051" t="n">
        <x:f>B15+B16</x:f>
      </x:c>
      <x:c r="C17" s="1051" t="n">
        <x:f>C15+C16</x:f>
      </x:c>
      <x:c r="D17" s="1051" t="n">
        <x:f>D15+D16</x:f>
      </x:c>
      <x:c r="E17" s="1050" t="n">
        <x:f>E15+E16</x:f>
      </x:c>
      <x:c r="F17" s="1051" t="n">
        <x:f>F15+F16</x:f>
      </x:c>
      <x:c r="G17" s="1051" t="n">
        <x:f>G15+G16</x:f>
      </x:c>
      <x:c r="H17" s="1051" t="n">
        <x:f>H15+H16</x:f>
      </x:c>
      <x:c r="I17" s="1051" t="n">
        <x:f>I15+I16</x:f>
      </x:c>
      <x:c r="J17" s="335"/>
      <x:c r="K17" s="335"/>
      <x:c r="L17" s="335"/>
      <x:c r="M17" s="335"/>
      <x:c r="N17" s="335"/>
      <x:c r="O17" s="335"/>
      <x:c r="P17" s="335"/>
      <x:c r="Q17" s="335"/>
      <x:c r="R17" s="335"/>
      <x:c r="S17" s="335"/>
    </x:row>
    <x:row r="18" outlineLevel="1">
      <x:c r="A18" s="839"/>
      <x:c r="B18" s="860"/>
      <x:c r="C18" s="860"/>
      <x:c r="D18" s="860"/>
      <x:c r="E18" s="896"/>
      <x:c r="F18" s="897"/>
      <x:c r="G18" s="897"/>
      <x:c r="H18" s="897"/>
      <x:c r="I18" s="897"/>
      <x:c r="J18" s="335"/>
      <x:c r="K18" s="335"/>
      <x:c r="L18" s="335"/>
      <x:c r="M18" s="335"/>
      <x:c r="N18" s="335"/>
      <x:c r="O18" s="335"/>
      <x:c r="P18" s="335"/>
      <x:c r="Q18" s="335"/>
      <x:c r="R18" s="335"/>
      <x:c r="S18" s="335"/>
    </x:row>
    <x:row r="19" outlineLevel="1">
      <x:c r="A19" s="839" t="str">
        <x:v>Interest Expense</x:v>
      </x:c>
      <x:c r="B19" s="1081" t="n">
        <x:f>'01_Inputs_Historicals'!B22</x:f>
      </x:c>
      <x:c r="C19" s="1081" t="n">
        <x:f>'01_Inputs_Historicals'!C22</x:f>
      </x:c>
      <x:c r="D19" s="1081" t="n">
        <x:f>'01_Inputs_Historicals'!D22</x:f>
      </x:c>
      <x:c r="E19" s="1102" t="n">
        <x:f>E136</x:f>
      </x:c>
      <x:c r="F19" s="1103" t="n">
        <x:f>F136</x:f>
      </x:c>
      <x:c r="G19" s="1103" t="n">
        <x:f>G136</x:f>
      </x:c>
      <x:c r="H19" s="1103" t="n">
        <x:f>H136</x:f>
      </x:c>
      <x:c r="I19" s="1103" t="n">
        <x:f>I136</x:f>
      </x:c>
      <x:c r="J19" s="335"/>
      <x:c r="K19" s="335"/>
      <x:c r="L19" s="335"/>
      <x:c r="M19" s="335"/>
      <x:c r="N19" s="335"/>
      <x:c r="O19" s="335"/>
      <x:c r="P19" s="335"/>
      <x:c r="Q19" s="335"/>
      <x:c r="R19" s="335"/>
      <x:c r="S19" s="335"/>
    </x:row>
    <x:row r="20" outlineLevel="1">
      <x:c r="A20" s="886" t="str">
        <x:v>EBT</x:v>
      </x:c>
      <x:c r="B20" s="1051" t="n">
        <x:f>B17+B19</x:f>
      </x:c>
      <x:c r="C20" s="1051" t="n">
        <x:f>C17+C19</x:f>
      </x:c>
      <x:c r="D20" s="1051" t="n">
        <x:f>D17+D19</x:f>
      </x:c>
      <x:c r="E20" s="1050" t="n">
        <x:f>E17+E19</x:f>
      </x:c>
      <x:c r="F20" s="1051" t="n">
        <x:f>F17+F19</x:f>
      </x:c>
      <x:c r="G20" s="1051" t="n">
        <x:f>G17+G19</x:f>
      </x:c>
      <x:c r="H20" s="1051" t="n">
        <x:f>H17+H19</x:f>
      </x:c>
      <x:c r="I20" s="1051" t="n">
        <x:f>I17+I19</x:f>
      </x:c>
      <x:c r="J20" s="335"/>
      <x:c r="K20" s="335"/>
      <x:c r="L20" s="335"/>
      <x:c r="M20" s="335"/>
      <x:c r="N20" s="335"/>
      <x:c r="O20" s="335"/>
      <x:c r="P20" s="335"/>
      <x:c r="Q20" s="335"/>
      <x:c r="R20" s="335"/>
      <x:c r="S20" s="335"/>
    </x:row>
    <x:row r="21" outlineLevel="1">
      <x:c r="A21" s="839"/>
      <x:c r="B21" s="860"/>
      <x:c r="C21" s="860"/>
      <x:c r="D21" s="860"/>
      <x:c r="E21" s="859"/>
      <x:c r="F21" s="860"/>
      <x:c r="G21" s="860"/>
      <x:c r="H21" s="860"/>
      <x:c r="I21" s="860"/>
      <x:c r="J21" s="335"/>
      <x:c r="K21" s="335"/>
      <x:c r="L21" s="335"/>
      <x:c r="M21" s="335"/>
      <x:c r="N21" s="335"/>
      <x:c r="O21" s="335"/>
      <x:c r="P21" s="335"/>
      <x:c r="Q21" s="335"/>
      <x:c r="R21" s="335"/>
      <x:c r="S21" s="335"/>
    </x:row>
    <x:row r="22" outlineLevel="1">
      <x:c r="A22" s="839" t="str">
        <x:v>Current Tax</x:v>
      </x:c>
      <x:c r="B22" s="1081" t="n">
        <x:f>'01_Inputs_Historicals'!B23</x:f>
      </x:c>
      <x:c r="C22" s="1081" t="n">
        <x:f>'01_Inputs_Historicals'!C23</x:f>
      </x:c>
      <x:c r="D22" s="1081" t="n">
        <x:f>'01_Inputs_Historicals'!D23</x:f>
      </x:c>
      <x:c r="E22" s="1100" t="n">
        <x:f>'02_Operating_Model'!E215</x:f>
      </x:c>
      <x:c r="F22" s="1101" t="n">
        <x:f>'02_Operating_Model'!F215</x:f>
      </x:c>
      <x:c r="G22" s="1101" t="n">
        <x:f>'02_Operating_Model'!G215</x:f>
      </x:c>
      <x:c r="H22" s="1101" t="n">
        <x:f>'02_Operating_Model'!H215</x:f>
      </x:c>
      <x:c r="I22" s="1101" t="n">
        <x:f>'02_Operating_Model'!I215</x:f>
      </x:c>
      <x:c r="J22" s="335"/>
      <x:c r="K22" s="335"/>
      <x:c r="L22" s="335"/>
      <x:c r="M22" s="335"/>
      <x:c r="N22" s="335"/>
      <x:c r="O22" s="335"/>
      <x:c r="P22" s="335"/>
      <x:c r="Q22" s="335"/>
      <x:c r="R22" s="335"/>
      <x:c r="S22" s="335"/>
    </x:row>
    <x:row r="23" outlineLevel="1">
      <x:c r="A23" s="839" t="str">
        <x:v>Deferred Tax</x:v>
      </x:c>
      <x:c r="B23" s="1076" t="n">
        <x:v>0</x:v>
      </x:c>
      <x:c r="C23" s="1076" t="n">
        <x:v>0</x:v>
      </x:c>
      <x:c r="D23" s="1076" t="n">
        <x:v>0</x:v>
      </x:c>
      <x:c r="E23" s="1100" t="n">
        <x:f>'02_Operating_Model'!E216</x:f>
      </x:c>
      <x:c r="F23" s="1101" t="n">
        <x:f>'02_Operating_Model'!F216</x:f>
      </x:c>
      <x:c r="G23" s="1101" t="n">
        <x:f>'02_Operating_Model'!G216</x:f>
      </x:c>
      <x:c r="H23" s="1101" t="n">
        <x:f>'02_Operating_Model'!H216</x:f>
      </x:c>
      <x:c r="I23" s="1101" t="n">
        <x:f>'02_Operating_Model'!I216</x:f>
      </x:c>
      <x:c r="J23" s="335"/>
      <x:c r="K23" s="335"/>
      <x:c r="L23" s="335"/>
      <x:c r="M23" s="335"/>
      <x:c r="N23" s="335"/>
      <x:c r="O23" s="335"/>
      <x:c r="P23" s="335"/>
      <x:c r="Q23" s="335"/>
      <x:c r="R23" s="335"/>
      <x:c r="S23" s="335"/>
    </x:row>
    <x:row r="24" outlineLevel="1">
      <x:c r="A24" s="886" t="str">
        <x:v>Total Tax</x:v>
      </x:c>
      <x:c r="B24" s="1051" t="n">
        <x:f>B22+B23</x:f>
      </x:c>
      <x:c r="C24" s="1051" t="n">
        <x:f>C22+C23</x:f>
      </x:c>
      <x:c r="D24" s="1051" t="n">
        <x:f>D22+D23</x:f>
      </x:c>
      <x:c r="E24" s="1050" t="n">
        <x:f>E22+E23</x:f>
      </x:c>
      <x:c r="F24" s="1051" t="n">
        <x:f>F22+F23</x:f>
      </x:c>
      <x:c r="G24" s="1051" t="n">
        <x:f>G22+G23</x:f>
      </x:c>
      <x:c r="H24" s="1051" t="n">
        <x:f>H22+H23</x:f>
      </x:c>
      <x:c r="I24" s="1051" t="n">
        <x:f>I22+I23</x:f>
      </x:c>
      <x:c r="J24" s="335"/>
      <x:c r="K24" s="335"/>
      <x:c r="L24" s="335"/>
      <x:c r="M24" s="335"/>
      <x:c r="N24" s="335"/>
      <x:c r="O24" s="335"/>
      <x:c r="P24" s="335"/>
      <x:c r="Q24" s="335"/>
      <x:c r="R24" s="335"/>
      <x:c r="S24" s="335"/>
    </x:row>
    <x:row r="25" outlineLevel="1">
      <x:c r="A25" s="839"/>
      <x:c r="B25" s="860"/>
      <x:c r="C25" s="860"/>
      <x:c r="D25" s="860"/>
      <x:c r="E25" s="896"/>
      <x:c r="F25" s="897"/>
      <x:c r="G25" s="897"/>
      <x:c r="H25" s="897"/>
      <x:c r="I25" s="897"/>
      <x:c r="J25" s="335"/>
      <x:c r="K25" s="335"/>
      <x:c r="L25" s="335"/>
      <x:c r="M25" s="335"/>
      <x:c r="N25" s="335"/>
      <x:c r="O25" s="335"/>
      <x:c r="P25" s="335"/>
      <x:c r="Q25" s="335"/>
      <x:c r="R25" s="335"/>
      <x:c r="S25" s="335"/>
    </x:row>
    <x:row r="26" outlineLevel="1">
      <x:c r="A26" s="886" t="str">
        <x:v>Net Income</x:v>
      </x:c>
      <x:c r="B26" s="1051" t="n">
        <x:f>B20+B24</x:f>
      </x:c>
      <x:c r="C26" s="1051" t="n">
        <x:f>C20+C24</x:f>
      </x:c>
      <x:c r="D26" s="1051" t="n">
        <x:f>D20+D24</x:f>
      </x:c>
      <x:c r="E26" s="1050" t="n">
        <x:f>E20+E24</x:f>
      </x:c>
      <x:c r="F26" s="1051" t="n">
        <x:f>F20+F24</x:f>
      </x:c>
      <x:c r="G26" s="1051" t="n">
        <x:f>G20+G24</x:f>
      </x:c>
      <x:c r="H26" s="1051" t="n">
        <x:f>H20+H24</x:f>
      </x:c>
      <x:c r="I26" s="1051" t="n">
        <x:f>I20+I24</x:f>
      </x:c>
      <x:c r="J26" s="335"/>
      <x:c r="K26" s="335"/>
      <x:c r="L26" s="335"/>
      <x:c r="M26" s="335"/>
      <x:c r="N26" s="335"/>
      <x:c r="O26" s="335"/>
      <x:c r="P26" s="335"/>
      <x:c r="Q26" s="335"/>
      <x:c r="R26" s="335"/>
      <x:c r="S26" s="335"/>
    </x:row>
    <x:row r="27" outlineLevel="1">
      <x:c r="A27" s="839" t="str">
        <x:v>Net Income Link Check</x:v>
      </x:c>
      <x:c r="B27" s="839"/>
      <x:c r="C27" s="839"/>
      <x:c r="D27" s="839"/>
      <x:c r="E27" s="841" t="str">
        <x:f>IF(ABS(E26-E32)&lt;0.01,"OK","CHECK")</x:f>
      </x:c>
      <x:c r="F27" s="839" t="str">
        <x:f>IF(ABS(F26-F32)&lt;0.01,"OK","CHECK")</x:f>
      </x:c>
      <x:c r="G27" s="839" t="str">
        <x:f>IF(ABS(G26-G32)&lt;0.01,"OK","CHECK")</x:f>
      </x:c>
      <x:c r="H27" s="839" t="str">
        <x:f>IF(ABS(H26-H32)&lt;0.01,"OK","CHECK")</x:f>
      </x:c>
      <x:c r="I27" s="839" t="str">
        <x:f>IF(ABS(I26-I32)&lt;0.01,"OK","CHECK")</x:f>
      </x:c>
      <x:c r="J27" s="335"/>
      <x:c r="K27" s="335"/>
      <x:c r="L27" s="335"/>
      <x:c r="M27" s="335"/>
      <x:c r="N27" s="335"/>
      <x:c r="O27" s="335"/>
      <x:c r="P27" s="335"/>
      <x:c r="Q27" s="335"/>
      <x:c r="R27" s="335"/>
      <x:c r="S27" s="335"/>
    </x:row>
    <x:row r="28" outlineLevel="1">
      <x:c r="A28" s="238"/>
      <x:c r="B28" s="238"/>
      <x:c r="C28" s="238"/>
      <x:c r="D28" s="238"/>
      <x:c r="E28" s="246"/>
      <x:c r="F28" s="238"/>
      <x:c r="G28" s="238"/>
      <x:c r="H28" s="238"/>
      <x:c r="I28" s="238"/>
      <x:c r="J28" s="335"/>
      <x:c r="K28" s="335"/>
      <x:c r="L28" s="335"/>
      <x:c r="M28" s="335"/>
      <x:c r="N28" s="335"/>
      <x:c r="O28" s="335"/>
      <x:c r="P28" s="335"/>
      <x:c r="Q28" s="335"/>
      <x:c r="R28" s="335"/>
      <x:c r="S28" s="335"/>
    </x:row>
    <x:row r="29">
      <x:c r="A29" s="238"/>
      <x:c r="B29" s="238"/>
      <x:c r="C29" s="238"/>
      <x:c r="D29" s="238"/>
      <x:c r="E29" s="246"/>
      <x:c r="F29" s="238"/>
      <x:c r="G29" s="238"/>
      <x:c r="H29" s="238"/>
      <x:c r="I29" s="238"/>
      <x:c r="J29" s="335"/>
      <x:c r="K29" s="335"/>
      <x:c r="L29" s="335"/>
      <x:c r="M29" s="335"/>
      <x:c r="N29" s="335"/>
      <x:c r="O29" s="335"/>
      <x:c r="P29" s="335"/>
      <x:c r="Q29" s="335"/>
      <x:c r="R29" s="335"/>
      <x:c r="S29" s="335"/>
    </x:row>
    <x:row r="30">
      <x:c r="A30" s="333" t="str">
        <x:v>Cash Flow Statement</x:v>
      </x:c>
      <x:c r="B30" s="333"/>
      <x:c r="C30" s="333"/>
      <x:c r="D30" s="333"/>
      <x:c r="E30" s="334"/>
      <x:c r="F30" s="333"/>
      <x:c r="G30" s="333"/>
      <x:c r="H30" s="333"/>
      <x:c r="I30" s="333"/>
      <x:c r="J30" s="335"/>
      <x:c r="K30" s="335"/>
      <x:c r="L30" s="335"/>
      <x:c r="M30" s="335"/>
      <x:c r="N30" s="335"/>
      <x:c r="O30" s="335"/>
      <x:c r="P30" s="335"/>
      <x:c r="Q30" s="335"/>
      <x:c r="R30" s="335"/>
      <x:c r="S30" s="335"/>
    </x:row>
    <x:row r="31" outlineLevel="1">
      <x:c r="A31" s="238"/>
      <x:c r="B31" s="238"/>
      <x:c r="C31" s="238"/>
      <x:c r="D31" s="238"/>
      <x:c r="E31" s="246"/>
      <x:c r="F31" s="238"/>
      <x:c r="G31" s="238"/>
      <x:c r="H31" s="238"/>
      <x:c r="I31" s="238"/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39" t="str">
        <x:v>Net Income</x:v>
      </x:c>
      <x:c r="B32" s="1054" t="n">
        <x:f>B26</x:f>
      </x:c>
      <x:c r="C32" s="1054" t="n">
        <x:f>C26</x:f>
      </x:c>
      <x:c r="D32" s="1054" t="n">
        <x:f>D26</x:f>
      </x:c>
      <x:c r="E32" s="1102" t="n">
        <x:f>E26</x:f>
      </x:c>
      <x:c r="F32" s="1103" t="n">
        <x:f>F26</x:f>
      </x:c>
      <x:c r="G32" s="1103" t="n">
        <x:f>G26</x:f>
      </x:c>
      <x:c r="H32" s="1103" t="n">
        <x:f>H26</x:f>
      </x:c>
      <x:c r="I32" s="1103" t="n">
        <x:f>I26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Depreciation</x:v>
      </x:c>
      <x:c r="B33" s="1054" t="n">
        <x:f>-B16</x:f>
      </x:c>
      <x:c r="C33" s="1054" t="n">
        <x:f>-C16</x:f>
      </x:c>
      <x:c r="D33" s="1054" t="n">
        <x:f>-D16</x:f>
      </x:c>
      <x:c r="E33" s="1102" t="n">
        <x:f>-E16</x:f>
      </x:c>
      <x:c r="F33" s="1103" t="n">
        <x:f>-F16</x:f>
      </x:c>
      <x:c r="G33" s="1103" t="n">
        <x:f>-G16</x:f>
      </x:c>
      <x:c r="H33" s="1103" t="n">
        <x:f>-H16</x:f>
      </x:c>
      <x:c r="I33" s="1103" t="n">
        <x:f>-I16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839" t="str">
        <x:v>Deferred Tax</x:v>
      </x:c>
      <x:c r="B34" s="860"/>
      <x:c r="C34" s="860"/>
      <x:c r="D34" s="860"/>
      <x:c r="E34" s="1102" t="n">
        <x:f>-E23</x:f>
      </x:c>
      <x:c r="F34" s="1103" t="n">
        <x:f>-F23</x:f>
      </x:c>
      <x:c r="G34" s="1103" t="n">
        <x:f>-G23</x:f>
      </x:c>
      <x:c r="H34" s="1103" t="n">
        <x:f>-H23</x:f>
      </x:c>
      <x:c r="I34" s="1103" t="n">
        <x:f>-I23</x:f>
      </x:c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839" t="str">
        <x:v>Cash from Working Capital</x:v>
      </x:c>
      <x:c r="B35" s="860"/>
      <x:c r="C35" s="860"/>
      <x:c r="D35" s="860"/>
      <x:c r="E35" s="1100" t="n">
        <x:f>'02_Operating_Model'!E105</x:f>
      </x:c>
      <x:c r="F35" s="1101" t="n">
        <x:f>'02_Operating_Model'!F105</x:f>
      </x:c>
      <x:c r="G35" s="1101" t="n">
        <x:f>'02_Operating_Model'!G105</x:f>
      </x:c>
      <x:c r="H35" s="1101" t="n">
        <x:f>'02_Operating_Model'!H105</x:f>
      </x:c>
      <x:c r="I35" s="1101" t="n">
        <x:f>'02_Operating_Model'!I105</x:f>
      </x:c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 outlineLevel="1">
      <x:c r="A36" s="886" t="str">
        <x:v>Cash From Operations</x:v>
      </x:c>
      <x:c r="B36" s="889"/>
      <x:c r="C36" s="889"/>
      <x:c r="D36" s="889"/>
      <x:c r="E36" s="1050" t="n">
        <x:f>SUM(E32:E35)</x:f>
      </x:c>
      <x:c r="F36" s="1051" t="n">
        <x:f>SUM(F32:F35)</x:f>
      </x:c>
      <x:c r="G36" s="1051" t="n">
        <x:f>SUM(G32:G35)</x:f>
      </x:c>
      <x:c r="H36" s="1051" t="n">
        <x:f>SUM(H32:H35)</x:f>
      </x:c>
      <x:c r="I36" s="1051" t="n">
        <x:f>SUM(I32:I35)</x:f>
      </x:c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 outlineLevel="1">
      <x:c r="A37" s="839"/>
      <x:c r="B37" s="860"/>
      <x:c r="C37" s="860"/>
      <x:c r="D37" s="860"/>
      <x:c r="E37" s="859"/>
      <x:c r="F37" s="860"/>
      <x:c r="G37" s="860"/>
      <x:c r="H37" s="860"/>
      <x:c r="I37" s="860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839"/>
      <x:c r="B38" s="860"/>
      <x:c r="C38" s="860"/>
      <x:c r="D38" s="860"/>
      <x:c r="E38" s="859"/>
      <x:c r="F38" s="860"/>
      <x:c r="G38" s="860"/>
      <x:c r="H38" s="860"/>
      <x:c r="I38" s="860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39" t="str">
        <x:v>Capital Expenditure</x:v>
      </x:c>
      <x:c r="B39" s="860"/>
      <x:c r="C39" s="860"/>
      <x:c r="D39" s="860"/>
      <x:c r="E39" s="1100" t="n">
        <x:f>-'02_Operating_Model'!E152</x:f>
      </x:c>
      <x:c r="F39" s="1101" t="n">
        <x:f>-'02_Operating_Model'!F152</x:f>
      </x:c>
      <x:c r="G39" s="1101" t="n">
        <x:f>-'02_Operating_Model'!G152</x:f>
      </x:c>
      <x:c r="H39" s="1101" t="n">
        <x:f>-'02_Operating_Model'!H152</x:f>
      </x:c>
      <x:c r="I39" s="1101" t="n">
        <x:f>-'02_Operating_Model'!I152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86" t="str">
        <x:v>Cash From Investing</x:v>
      </x:c>
      <x:c r="B40" s="889"/>
      <x:c r="C40" s="889"/>
      <x:c r="D40" s="889"/>
      <x:c r="E40" s="1050" t="n">
        <x:f>E39</x:f>
      </x:c>
      <x:c r="F40" s="1051" t="n">
        <x:f>F39</x:f>
      </x:c>
      <x:c r="G40" s="1051" t="n">
        <x:f>G39</x:f>
      </x:c>
      <x:c r="H40" s="1051" t="n">
        <x:f>H39</x:f>
      </x:c>
      <x:c r="I40" s="1051" t="n">
        <x:f>I39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60"/>
      <x:c r="C41" s="860"/>
      <x:c r="D41" s="860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60"/>
      <x:c r="C42" s="860"/>
      <x:c r="D42" s="860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39" t="str">
        <x:v>Debt Repayment</x:v>
      </x:c>
      <x:c r="B43" s="860"/>
      <x:c r="C43" s="860"/>
      <x:c r="D43" s="860"/>
      <x:c r="E43" s="1100" t="n">
        <x:f>'02_Operating_Model'!E177</x:f>
      </x:c>
      <x:c r="F43" s="1101" t="n">
        <x:f>'02_Operating_Model'!F177</x:f>
      </x:c>
      <x:c r="G43" s="1101" t="n">
        <x:f>'02_Operating_Model'!G177</x:f>
      </x:c>
      <x:c r="H43" s="1101" t="n">
        <x:f>'02_Operating_Model'!H177</x:f>
      </x:c>
      <x:c r="I43" s="1101" t="n">
        <x:f>'02_Operating_Model'!I177</x:f>
      </x:c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39" t="str">
        <x:v>New Borrowing</x:v>
      </x:c>
      <x:c r="B44" s="860"/>
      <x:c r="C44" s="860"/>
      <x:c r="D44" s="860"/>
      <x:c r="E44" s="1100" t="n">
        <x:f>'02_Operating_Model'!E178</x:f>
      </x:c>
      <x:c r="F44" s="1101" t="n">
        <x:f>'02_Operating_Model'!F178</x:f>
      </x:c>
      <x:c r="G44" s="1101" t="n">
        <x:f>'02_Operating_Model'!G178</x:f>
      </x:c>
      <x:c r="H44" s="1101" t="n">
        <x:f>'02_Operating_Model'!H178</x:f>
      </x:c>
      <x:c r="I44" s="1101" t="n">
        <x:f>'02_Operating_Model'!I178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39" t="str">
        <x:v>Dividends</x:v>
      </x:c>
      <x:c r="B45" s="860"/>
      <x:c r="C45" s="860"/>
      <x:c r="D45" s="860"/>
      <x:c r="E45" s="1100" t="n">
        <x:f>-MAX(0,E26*'01_Inputs_Historicals'!C53)</x:f>
      </x:c>
      <x:c r="F45" s="1101" t="n">
        <x:f>-MAX(0,F26*'01_Inputs_Historicals'!D53)</x:f>
      </x:c>
      <x:c r="G45" s="1101" t="n">
        <x:f>-MAX(0,G26*'01_Inputs_Historicals'!E53)</x:f>
      </x:c>
      <x:c r="H45" s="1101" t="n">
        <x:f>-MAX(0,H26*'01_Inputs_Historicals'!F53)</x:f>
      </x:c>
      <x:c r="I45" s="1101" t="n">
        <x:f>-MAX(0,I26*'01_Inputs_Historicals'!G53)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86" t="str">
        <x:v>Cash From Financing</x:v>
      </x:c>
      <x:c r="B46" s="889"/>
      <x:c r="C46" s="889"/>
      <x:c r="D46" s="889"/>
      <x:c r="E46" s="1050" t="n">
        <x:f>SUM(E43:E45)+E124+E114</x:f>
      </x:c>
      <x:c r="F46" s="1051" t="n">
        <x:f>SUM(F43:F45)+F124+F114</x:f>
      </x:c>
      <x:c r="G46" s="1051" t="n">
        <x:f>SUM(G43:G45)+G124+G114</x:f>
      </x:c>
      <x:c r="H46" s="1051" t="n">
        <x:f>SUM(H43:H45)+H124+H114</x:f>
      </x:c>
      <x:c r="I46" s="1051" t="n">
        <x:f>SUM(I43:I45)+I124+I114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39"/>
      <x:c r="B47" s="860"/>
      <x:c r="C47" s="860"/>
      <x:c r="D47" s="860"/>
      <x:c r="E47" s="859"/>
      <x:c r="F47" s="860"/>
      <x:c r="G47" s="860"/>
      <x:c r="H47" s="860"/>
      <x:c r="I47" s="860"/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39"/>
      <x:c r="B48" s="860"/>
      <x:c r="C48" s="860"/>
      <x:c r="D48" s="860"/>
      <x:c r="E48" s="859"/>
      <x:c r="F48" s="860"/>
      <x:c r="G48" s="860"/>
      <x:c r="H48" s="860"/>
      <x:c r="I48" s="860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86" t="str">
        <x:v>Net Change in Cash</x:v>
      </x:c>
      <x:c r="B49" s="889"/>
      <x:c r="C49" s="889"/>
      <x:c r="D49" s="889"/>
      <x:c r="E49" s="1050" t="n">
        <x:f>SUM(E36,E40,E46)</x:f>
      </x:c>
      <x:c r="F49" s="1051" t="n">
        <x:f>SUM(F36,F40,F46)</x:f>
      </x:c>
      <x:c r="G49" s="1051" t="n">
        <x:f>SUM(G36,G40,G46)</x:f>
      </x:c>
      <x:c r="H49" s="1051" t="n">
        <x:f>SUM(H36,H40,H46)</x:f>
      </x:c>
      <x:c r="I49" s="1051" t="n">
        <x:f>SUM(I36,I40,I46)</x:f>
      </x:c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39" t="str">
        <x:v>Beginning Cash</x:v>
      </x:c>
      <x:c r="B50" s="860"/>
      <x:c r="C50" s="860"/>
      <x:c r="D50" s="860"/>
      <x:c r="E50" s="1100" t="n">
        <x:f>'01_Inputs_Historicals'!D24</x:f>
      </x:c>
      <x:c r="F50" s="1103" t="n">
        <x:f>E51</x:f>
      </x:c>
      <x:c r="G50" s="1103" t="n">
        <x:f>F51</x:f>
      </x:c>
      <x:c r="H50" s="1103" t="n">
        <x:f>G51</x:f>
      </x:c>
      <x:c r="I50" s="1103" t="n">
        <x:f>H51</x:f>
      </x:c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86" t="str">
        <x:v>Ending Cash</x:v>
      </x:c>
      <x:c r="B51" s="1057" t="n">
        <x:f>'01_Inputs_Historicals'!B24</x:f>
      </x:c>
      <x:c r="C51" s="1057" t="n">
        <x:f>'01_Inputs_Historicals'!C24</x:f>
      </x:c>
      <x:c r="D51" s="1057" t="n">
        <x:f>'01_Inputs_Historicals'!D24</x:f>
      </x:c>
      <x:c r="E51" s="1050" t="n">
        <x:f>E50+E49</x:f>
      </x:c>
      <x:c r="F51" s="1051" t="n">
        <x:f>F50+F49</x:f>
      </x:c>
      <x:c r="G51" s="1051" t="n">
        <x:f>G50+G49</x:f>
      </x:c>
      <x:c r="H51" s="1051" t="n">
        <x:f>H50+H49</x:f>
      </x:c>
      <x:c r="I51" s="1051" t="n">
        <x:f>I50+I49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98" t="str">
        <x:v>Cash Flow / Balance Sheet Cash Check</x:v>
      </x:c>
      <x:c r="B52" s="1104" t="n">
        <x:v>0</x:v>
      </x:c>
      <x:c r="C52" s="1104" t="n">
        <x:v>0</x:v>
      </x:c>
      <x:c r="D52" s="1104" t="n">
        <x:v>0</x:v>
      </x:c>
      <x:c r="E52" s="900" t="str">
        <x:f>IF(ABS(E51-E57)&lt;0.01,"OK","CHECK")</x:f>
      </x:c>
      <x:c r="F52" s="899" t="str">
        <x:f>IF(ABS(F51-F57)&lt;0.01,"OK","CHECK")</x:f>
      </x:c>
      <x:c r="G52" s="899" t="str">
        <x:f>IF(ABS(G51-G57)&lt;0.01,"OK","CHECK")</x:f>
      </x:c>
      <x:c r="H52" s="899" t="str">
        <x:f>IF(ABS(H51-H57)&lt;0.01,"OK","CHECK")</x:f>
      </x:c>
      <x:c r="I52" s="899" t="str">
        <x:f>IF(ABS(I51-I57)&lt;0.01,"OK","CHECK")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238"/>
      <x:c r="B53" s="238"/>
      <x:c r="C53" s="238"/>
      <x:c r="D53" s="238"/>
      <x:c r="E53" s="246"/>
      <x:c r="F53" s="238"/>
      <x:c r="G53" s="238"/>
      <x:c r="H53" s="238"/>
      <x:c r="I53" s="238"/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>
      <x:c r="A54" s="238"/>
      <x:c r="B54" s="238"/>
      <x:c r="C54" s="238"/>
      <x:c r="D54" s="238"/>
      <x:c r="E54" s="246"/>
      <x:c r="F54" s="238"/>
      <x:c r="G54" s="238"/>
      <x:c r="H54" s="238"/>
      <x:c r="I54" s="238"/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>
      <x:c r="A55" s="333" t="str">
        <x:v>Balance Sheet</x:v>
      </x:c>
      <x:c r="B55" s="333"/>
      <x:c r="C55" s="333"/>
      <x:c r="D55" s="333"/>
      <x:c r="E55" s="334"/>
      <x:c r="F55" s="333"/>
      <x:c r="G55" s="333"/>
      <x:c r="H55" s="333"/>
      <x:c r="I55" s="333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 t="str">
        <x:v>Other Assets</x:v>
      </x:c>
      <x:c r="B56" s="845">
        <x:f>'08_Data_Feed'!$C$32</x:f>
      </x:c>
      <x:c r="C56" s="845">
        <x:f>'08_Data_Feed'!$D$32</x:f>
      </x:c>
      <x:c r="D56" s="845">
        <x:f>'08_Data_Feed'!$E$32</x:f>
      </x:c>
      <x:c r="E56" s="846">
        <x:f>$D$56</x:f>
      </x:c>
      <x:c r="F56" s="846">
        <x:f>$D$56</x:f>
      </x:c>
      <x:c r="G56" s="846">
        <x:f>$D$56</x:f>
      </x:c>
      <x:c r="H56" s="846">
        <x:f>$D$56</x:f>
      </x:c>
      <x:c r="I56" s="846">
        <x:f>$D$56</x:f>
      </x:c>
    </x:row>
    <x:row r="57" outlineLevel="1">
      <x:c r="A57" s="839" t="str">
        <x:v>Cash</x:v>
      </x:c>
      <x:c r="B57" s="1081" t="n">
        <x:f>'01_Inputs_Historicals'!B24</x:f>
      </x:c>
      <x:c r="C57" s="1081" t="n">
        <x:f>'01_Inputs_Historicals'!C24</x:f>
      </x:c>
      <x:c r="D57" s="1081" t="n">
        <x:f>'01_Inputs_Historicals'!D24</x:f>
      </x:c>
      <x:c r="E57" s="1102" t="n">
        <x:f>E51</x:f>
      </x:c>
      <x:c r="F57" s="1103" t="n">
        <x:f>F51</x:f>
      </x:c>
      <x:c r="G57" s="1103" t="n">
        <x:f>G51</x:f>
      </x:c>
      <x:c r="H57" s="1103" t="n">
        <x:f>H51</x:f>
      </x:c>
      <x:c r="I57" s="1103" t="n">
        <x:f>I51</x:f>
      </x:c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39" t="str">
        <x:v>Accounts Receivable</x:v>
      </x:c>
      <x:c r="B58" s="1081" t="n">
        <x:f>'01_Inputs_Historicals'!B25</x:f>
      </x:c>
      <x:c r="C58" s="1081" t="n">
        <x:f>'01_Inputs_Historicals'!C25</x:f>
      </x:c>
      <x:c r="D58" s="1081" t="n">
        <x:f>'01_Inputs_Historicals'!D25</x:f>
      </x:c>
      <x:c r="E58" s="1100" t="n">
        <x:f>'02_Operating_Model'!E97</x:f>
      </x:c>
      <x:c r="F58" s="1101" t="n">
        <x:f>'02_Operating_Model'!F97</x:f>
      </x:c>
      <x:c r="G58" s="1101" t="n">
        <x:f>'02_Operating_Model'!G97</x:f>
      </x:c>
      <x:c r="H58" s="1101" t="n">
        <x:f>'02_Operating_Model'!H97</x:f>
      </x:c>
      <x:c r="I58" s="1101" t="n">
        <x:f>'02_Operating_Model'!I97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Inventory</x:v>
      </x:c>
      <x:c r="B59" s="1081" t="n">
        <x:f>'01_Inputs_Historicals'!B26</x:f>
      </x:c>
      <x:c r="C59" s="1081" t="n">
        <x:f>'01_Inputs_Historicals'!C26</x:f>
      </x:c>
      <x:c r="D59" s="1081" t="n">
        <x:f>'01_Inputs_Historicals'!D26</x:f>
      </x:c>
      <x:c r="E59" s="1100" t="n">
        <x:f>'02_Operating_Model'!E98</x:f>
      </x:c>
      <x:c r="F59" s="1101" t="n">
        <x:f>'02_Operating_Model'!F98</x:f>
      </x:c>
      <x:c r="G59" s="1101" t="n">
        <x:f>'02_Operating_Model'!G98</x:f>
      </x:c>
      <x:c r="H59" s="1101" t="n">
        <x:f>'02_Operating_Model'!H98</x:f>
      </x:c>
      <x:c r="I59" s="1101" t="n">
        <x:f>'02_Operating_Model'!I98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PP&amp;E</x:v>
      </x:c>
      <x:c r="B60" s="1081" t="n">
        <x:f>'01_Inputs_Historicals'!B27</x:f>
      </x:c>
      <x:c r="C60" s="1081" t="n">
        <x:f>'01_Inputs_Historicals'!C27</x:f>
      </x:c>
      <x:c r="D60" s="1081" t="n">
        <x:f>'01_Inputs_Historicals'!D27</x:f>
      </x:c>
      <x:c r="E60" s="1100" t="n">
        <x:f>'02_Operating_Model'!E161</x:f>
      </x:c>
      <x:c r="F60" s="1101" t="n">
        <x:f>'02_Operating_Model'!F161</x:f>
      </x:c>
      <x:c r="G60" s="1101" t="n">
        <x:f>'02_Operating_Model'!G161</x:f>
      </x:c>
      <x:c r="H60" s="1101" t="n">
        <x:f>'02_Operating_Model'!H161</x:f>
      </x:c>
      <x:c r="I60" s="1101" t="n">
        <x:f>'02_Operating_Model'!I161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Total Assets</x:v>
      </x:c>
      <x:c r="B61" s="1051" t="n">
        <x:f>SUM(B56:B60)</x:f>
      </x:c>
      <x:c r="C61" s="1051" t="n">
        <x:f>SUM(C56:C60)</x:f>
      </x:c>
      <x:c r="D61" s="1051" t="n">
        <x:f>SUM(D56:D60)</x:f>
      </x:c>
      <x:c r="E61" s="1050" t="n">
        <x:f>SUM(E56:E60)</x:f>
      </x:c>
      <x:c r="F61" s="1051" t="n">
        <x:f>SUM(F56:F60)</x:f>
      </x:c>
      <x:c r="G61" s="1051" t="n">
        <x:f>SUM(G56:G60)</x:f>
      </x:c>
      <x:c r="H61" s="1051" t="n">
        <x:f>SUM(H56:H60)</x:f>
      </x:c>
      <x:c r="I61" s="1051" t="n">
        <x:f>SUM(I56:I60)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39"/>
      <x:c r="B62" s="860"/>
      <x:c r="C62" s="860"/>
      <x:c r="D62" s="860"/>
      <x:c r="E62" s="859"/>
      <x:c r="F62" s="860"/>
      <x:c r="G62" s="860"/>
      <x:c r="H62" s="860"/>
      <x:c r="I62" s="860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39" t="str">
        <x:v>Other Liabilities</x:v>
      </x:c>
      <x:c r="B63" s="845">
        <x:f>'08_Data_Feed'!$C$33</x:f>
      </x:c>
      <x:c r="C63" s="845">
        <x:f>'08_Data_Feed'!$D$33</x:f>
      </x:c>
      <x:c r="D63" s="845">
        <x:f>'08_Data_Feed'!$E$33</x:f>
      </x:c>
      <x:c r="E63" s="846">
        <x:f>$D$63</x:f>
      </x:c>
      <x:c r="F63" s="846">
        <x:f>$D$63</x:f>
      </x:c>
      <x:c r="G63" s="846">
        <x:f>$D$63</x:f>
      </x:c>
      <x:c r="H63" s="846">
        <x:f>$D$63</x:f>
      </x:c>
      <x:c r="I63" s="846">
        <x:f>$D$63</x:f>
      </x:c>
    </x:row>
    <x:row r="64" outlineLevel="1">
      <x:c r="A64" s="839" t="str">
        <x:v>Accounts Payable</x:v>
      </x:c>
      <x:c r="B64" s="1081" t="n">
        <x:f>'01_Inputs_Historicals'!B28</x:f>
      </x:c>
      <x:c r="C64" s="1081" t="n">
        <x:f>'01_Inputs_Historicals'!C28</x:f>
      </x:c>
      <x:c r="D64" s="1081" t="n">
        <x:f>'01_Inputs_Historicals'!D28</x:f>
      </x:c>
      <x:c r="E64" s="1100" t="n">
        <x:f>'02_Operating_Model'!E99</x:f>
      </x:c>
      <x:c r="F64" s="1101" t="n">
        <x:f>'02_Operating_Model'!F99</x:f>
      </x:c>
      <x:c r="G64" s="1101" t="n">
        <x:f>'02_Operating_Model'!G99</x:f>
      </x:c>
      <x:c r="H64" s="1101" t="n">
        <x:f>'02_Operating_Model'!H99</x:f>
      </x:c>
      <x:c r="I64" s="1101" t="n">
        <x:f>'02_Operating_Model'!I99</x:f>
      </x:c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Debt</x:v>
      </x:c>
      <x:c r="B65" s="1081" t="n">
        <x:f>'01_Inputs_Historicals'!B29</x:f>
      </x:c>
      <x:c r="C65" s="1081" t="n">
        <x:f>'01_Inputs_Historicals'!C29</x:f>
      </x:c>
      <x:c r="D65" s="1081" t="n">
        <x:f>'01_Inputs_Historicals'!D29</x:f>
      </x:c>
      <x:c r="E65" s="1102" t="n">
        <x:f>E100+E125</x:f>
      </x:c>
      <x:c r="F65" s="1103" t="n">
        <x:f>F100+F125</x:f>
      </x:c>
      <x:c r="G65" s="1103" t="n">
        <x:f>G100+G125</x:f>
      </x:c>
      <x:c r="H65" s="1103" t="n">
        <x:f>H100+H125</x:f>
      </x:c>
      <x:c r="I65" s="1103" t="n">
        <x:f>I100+I125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Deferred Tax Liability</x:v>
      </x:c>
      <x:c r="B66" s="1081" t="n">
        <x:f>'01_Inputs_Historicals'!B30</x:f>
      </x:c>
      <x:c r="C66" s="1081" t="n">
        <x:f>'01_Inputs_Historicals'!C30</x:f>
      </x:c>
      <x:c r="D66" s="1081" t="n">
        <x:f>'01_Inputs_Historicals'!D30</x:f>
      </x:c>
      <x:c r="E66" s="1100" t="n">
        <x:f>'02_Operating_Model'!E226</x:f>
      </x:c>
      <x:c r="F66" s="1101" t="n">
        <x:f>'02_Operating_Model'!F226</x:f>
      </x:c>
      <x:c r="G66" s="1101" t="n">
        <x:f>'02_Operating_Model'!G226</x:f>
      </x:c>
      <x:c r="H66" s="1101" t="n">
        <x:f>'02_Operating_Model'!H226</x:f>
      </x:c>
      <x:c r="I66" s="1101" t="n">
        <x:f>'02_Operating_Model'!I226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86" t="str">
        <x:v>Total Liabilities</x:v>
      </x:c>
      <x:c r="B67" s="1051" t="n">
        <x:f>SUM(B63:B66)</x:f>
      </x:c>
      <x:c r="C67" s="1051" t="n">
        <x:f>SUM(C63:C66)</x:f>
      </x:c>
      <x:c r="D67" s="1051" t="n">
        <x:f>SUM(D63:D66)</x:f>
      </x:c>
      <x:c r="E67" s="1050" t="n">
        <x:f>SUM(E63:E66)</x:f>
      </x:c>
      <x:c r="F67" s="1051" t="n">
        <x:f>SUM(F63:F66)</x:f>
      </x:c>
      <x:c r="G67" s="1051" t="n">
        <x:f>SUM(G63:G66)</x:f>
      </x:c>
      <x:c r="H67" s="1051" t="n">
        <x:f>SUM(H63:H66)</x:f>
      </x:c>
      <x:c r="I67" s="1051" t="n">
        <x:f>SUM(I63:I66)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39"/>
      <x:c r="B68" s="860"/>
      <x:c r="C68" s="860"/>
      <x:c r="D68" s="860"/>
      <x:c r="E68" s="859"/>
      <x:c r="F68" s="860"/>
      <x:c r="G68" s="860"/>
      <x:c r="H68" s="860"/>
      <x:c r="I68" s="860"/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 t="str">
        <x:v>Other Equity (AOCI, treasury, minority)</x:v>
      </x:c>
      <x:c r="B69" s="845">
        <x:f>'08_Data_Feed'!$C$34</x:f>
      </x:c>
      <x:c r="C69" s="845">
        <x:f>'08_Data_Feed'!$D$34</x:f>
      </x:c>
      <x:c r="D69" s="845">
        <x:f>'08_Data_Feed'!$E$34</x:f>
      </x:c>
      <x:c r="E69" s="846">
        <x:f>$D$69</x:f>
      </x:c>
      <x:c r="F69" s="846">
        <x:f>$D$69</x:f>
      </x:c>
      <x:c r="G69" s="846">
        <x:f>$D$69</x:f>
      </x:c>
      <x:c r="H69" s="846">
        <x:f>$D$69</x:f>
      </x:c>
      <x:c r="I69" s="846">
        <x:f>$D$69</x:f>
      </x:c>
    </x:row>
    <x:row r="70" outlineLevel="1">
      <x:c r="A70" s="839" t="str">
        <x:v>Equity Capital</x:v>
      </x:c>
      <x:c r="B70" s="1081" t="n">
        <x:f>'01_Inputs_Historicals'!B31</x:f>
      </x:c>
      <x:c r="C70" s="1081" t="n">
        <x:f>'01_Inputs_Historicals'!C31</x:f>
      </x:c>
      <x:c r="D70" s="1081" t="n">
        <x:f>'01_Inputs_Historicals'!D31</x:f>
      </x:c>
      <x:c r="E70" s="1102" t="n">
        <x:f>E146</x:f>
      </x:c>
      <x:c r="F70" s="1103" t="n">
        <x:f>F146</x:f>
      </x:c>
      <x:c r="G70" s="1103" t="n">
        <x:f>G146</x:f>
      </x:c>
      <x:c r="H70" s="1103" t="n">
        <x:f>H146</x:f>
      </x:c>
      <x:c r="I70" s="1103" t="n">
        <x:f>I146</x:f>
      </x:c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39" t="str">
        <x:v>Retained Earnings</x:v>
      </x:c>
      <x:c r="B71" s="1081" t="n">
        <x:f>'01_Inputs_Historicals'!B32</x:f>
      </x:c>
      <x:c r="C71" s="1081" t="n">
        <x:f>'01_Inputs_Historicals'!C32</x:f>
      </x:c>
      <x:c r="D71" s="1081" t="n">
        <x:f>'01_Inputs_Historicals'!D32</x:f>
      </x:c>
      <x:c r="E71" s="1102" t="n">
        <x:f>E158</x:f>
      </x:c>
      <x:c r="F71" s="1103" t="n">
        <x:f>F158</x:f>
      </x:c>
      <x:c r="G71" s="1103" t="n">
        <x:f>G158</x:f>
      </x:c>
      <x:c r="H71" s="1103" t="n">
        <x:f>H158</x:f>
      </x:c>
      <x:c r="I71" s="1103" t="n">
        <x:f>I158</x:f>
      </x:c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86" t="str">
        <x:v>Shareholders' Equity</x:v>
      </x:c>
      <x:c r="B72" s="1051" t="n">
        <x:f>SUM(B69:B71)</x:f>
      </x:c>
      <x:c r="C72" s="1051" t="n">
        <x:f>SUM(C69:C71)</x:f>
      </x:c>
      <x:c r="D72" s="1051" t="n">
        <x:f>SUM(D69:D71)</x:f>
      </x:c>
      <x:c r="E72" s="1050" t="n">
        <x:f>SUM(E69:E71)</x:f>
      </x:c>
      <x:c r="F72" s="1051" t="n">
        <x:f>SUM(F69:F71)</x:f>
      </x:c>
      <x:c r="G72" s="1051" t="n">
        <x:f>SUM(G69:G71)</x:f>
      </x:c>
      <x:c r="H72" s="1051" t="n">
        <x:f>SUM(H69:H71)</x:f>
      </x:c>
      <x:c r="I72" s="1051" t="n">
        <x:f>SUM(I69:I71)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/>
      <x:c r="B73" s="860"/>
      <x:c r="C73" s="860"/>
      <x:c r="D73" s="860"/>
      <x:c r="E73" s="896"/>
      <x:c r="F73" s="897"/>
      <x:c r="G73" s="897"/>
      <x:c r="H73" s="897"/>
      <x:c r="I73" s="897"/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Liabilities &amp; Equity</x:v>
      </x:c>
      <x:c r="B74" s="1051" t="n">
        <x:f>B67+B72</x:f>
      </x:c>
      <x:c r="C74" s="1051" t="n">
        <x:f>C67+C72</x:f>
      </x:c>
      <x:c r="D74" s="1051" t="n">
        <x:f>D67+D72</x:f>
      </x:c>
      <x:c r="E74" s="1050" t="n">
        <x:f>E67+E72</x:f>
      </x:c>
      <x:c r="F74" s="1051" t="n">
        <x:f>F67+F72</x:f>
      </x:c>
      <x:c r="G74" s="1051" t="n">
        <x:f>G67+G72</x:f>
      </x:c>
      <x:c r="H74" s="1051" t="n">
        <x:f>H67+H72</x:f>
      </x:c>
      <x:c r="I74" s="1051" t="n">
        <x:f>I67+I72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39"/>
      <x:c r="B75" s="860"/>
      <x:c r="C75" s="860"/>
      <x:c r="D75" s="860"/>
      <x:c r="E75" s="896"/>
      <x:c r="F75" s="897"/>
      <x:c r="G75" s="897"/>
      <x:c r="H75" s="897"/>
      <x:c r="I75" s="897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Balance Sheet Check</x:v>
      </x:c>
      <x:c r="B76" s="1066" t="n">
        <x:f>B61-B74</x:f>
      </x:c>
      <x:c r="C76" s="1066" t="n">
        <x:f>C61-C74</x:f>
      </x:c>
      <x:c r="D76" s="1066" t="n">
        <x:f>D61-D74</x:f>
      </x:c>
      <x:c r="E76" s="851" t="str">
        <x:f>IF(ABS(E61-E74)&lt;0.01,"OK","CHECK")</x:f>
      </x:c>
      <x:c r="F76" s="852" t="str">
        <x:f>IF(ABS(F61-F74)&lt;0.01,"OK","CHECK")</x:f>
      </x:c>
      <x:c r="G76" s="852" t="str">
        <x:f>IF(ABS(G61-G74)&lt;0.01,"OK","CHECK")</x:f>
      </x:c>
      <x:c r="H76" s="852" t="str">
        <x:f>IF(ABS(H61-H74)&lt;0.01,"OK","CHECK")</x:f>
      </x:c>
      <x:c r="I76" s="852" t="str">
        <x:f>IF(ABS(I61-I74)&lt;0.01,"OK","CHECK")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39" t="str">
        <x:v>Balance Difference</x:v>
      </x:c>
      <x:c r="B77" s="1054" t="n">
        <x:f>B61-B74</x:f>
      </x:c>
      <x:c r="C77" s="1054" t="n">
        <x:f>C61-C74</x:f>
      </x:c>
      <x:c r="D77" s="1054" t="n">
        <x:f>D61-D74</x:f>
      </x:c>
      <x:c r="E77" s="1053" t="n">
        <x:f>E61-E74</x:f>
      </x:c>
      <x:c r="F77" s="1054" t="n">
        <x:f>F61-F74</x:f>
      </x:c>
      <x:c r="G77" s="1054" t="n">
        <x:f>G61-G74</x:f>
      </x:c>
      <x:c r="H77" s="1054" t="n">
        <x:f>H61-H74</x:f>
      </x:c>
      <x:c r="I77" s="1054" t="n">
        <x:f>I61-I74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39"/>
      <x:c r="B78" s="839"/>
      <x:c r="C78" s="839"/>
      <x:c r="D78" s="839"/>
      <x:c r="E78" s="841"/>
      <x:c r="F78" s="839"/>
      <x:c r="G78" s="839"/>
      <x:c r="H78" s="839"/>
      <x:c r="I78" s="839"/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49" t="str">
        <x:v>3-Statement Model Status</x:v>
      </x:c>
      <x:c r="B79" s="849"/>
      <x:c r="C79" s="849"/>
      <x:c r="D79" s="849"/>
      <x:c r="E79" s="849" t="str">
        <x:f>IF(AND(E27="OK",E52="OK",E76="OK",E94="OK",E104="OK",E130="OK",E137="OK",E151="OK",E159="OK"),"OK","CHECK")</x:f>
      </x:c>
      <x:c r="F79" s="849" t="str">
        <x:f>IF(AND(F27="OK",F52="OK",F76="OK",F94="OK",F104="OK",F130="OK",F137="OK",F151="OK",F159="OK"),"OK","CHECK")</x:f>
      </x:c>
      <x:c r="G79" s="849" t="str">
        <x:f>IF(AND(G27="OK",G52="OK",G76="OK",G94="OK",G104="OK",G130="OK",G137="OK",G151="OK",G159="OK"),"OK","CHECK")</x:f>
      </x:c>
      <x:c r="H79" s="849" t="str">
        <x:f>IF(AND(H27="OK",H52="OK",H76="OK",H94="OK",H104="OK",H130="OK",H137="OK",H151="OK",H159="OK"),"OK","CHECK")</x:f>
      </x:c>
      <x:c r="I79" s="849" t="str">
        <x:f>IF(AND(I27="OK",I52="OK",I76="OK",I94="OK",I104="OK",I130="OK",I137="OK",I151="OK",I159="OK"),"OK","CHECK")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38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604" t="str">
        <x:v>Cash, Long-Term Debt &amp; Revolver Schedule</x:v>
      </x:c>
      <x:c r="B83" s="604"/>
      <x:c r="C83" s="604"/>
      <x:c r="D83" s="604"/>
      <x:c r="E83" s="604"/>
      <x:c r="F83" s="604"/>
      <x:c r="G83" s="604"/>
      <x:c r="H83" s="604"/>
      <x:c r="I83" s="604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335" t="str">
        <x:v>All figures in USD thousands unless stated</x:v>
      </x:c>
      <x:c r="B85" s="606" t="str">
        <x:v>2023A</x:v>
      </x:c>
      <x:c r="C85" s="606" t="str">
        <x:v>2024A</x:v>
      </x:c>
      <x:c r="D85" s="606" t="str">
        <x:v>2025A</x:v>
      </x:c>
      <x:c r="E85" s="606" t="str">
        <x:v>2026E</x:v>
      </x:c>
      <x:c r="F85" s="606" t="str">
        <x:v>2027E</x:v>
      </x:c>
      <x:c r="G85" s="606" t="str">
        <x:v>2028E</x:v>
      </x:c>
      <x:c r="H85" s="606" t="str">
        <x:v>2029E</x:v>
      </x:c>
      <x:c r="I85" s="606" t="str">
        <x:v>2030E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605" t="str">
        <x:v>CASH</x:v>
      </x:c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10" t="str">
        <x:v>Beginning Balance</x:v>
      </x:c>
      <x:c r="B88" s="810"/>
      <x:c r="C88" s="810"/>
      <x:c r="D88" s="878"/>
      <x:c r="E88" s="1094" t="n">
        <x:f>'01_Inputs_Historicals'!D24</x:f>
      </x:c>
      <x:c r="F88" s="1089" t="n">
        <x:f>E90</x:f>
      </x:c>
      <x:c r="G88" s="1089" t="n">
        <x:f>F90</x:f>
      </x:c>
      <x:c r="H88" s="1089" t="n">
        <x:f>G90</x:f>
      </x:c>
      <x:c r="I88" s="1089" t="n">
        <x:f>H90</x:f>
      </x:c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10" t="str">
        <x:v>Increase / (Decrease)</x:v>
      </x:c>
      <x:c r="B89" s="810"/>
      <x:c r="C89" s="810"/>
      <x:c r="D89" s="878"/>
      <x:c r="E89" s="1089" t="n">
        <x:f>E49</x:f>
      </x:c>
      <x:c r="F89" s="1089" t="n">
        <x:f>F49</x:f>
      </x:c>
      <x:c r="G89" s="1089" t="n">
        <x:f>G49</x:f>
      </x:c>
      <x:c r="H89" s="1089" t="n">
        <x:f>H49</x:f>
      </x:c>
      <x:c r="I89" s="1089" t="n">
        <x:f>I49</x:f>
      </x:c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903" t="str">
        <x:v>Ending Balance</x:v>
      </x:c>
      <x:c r="B90" s="903"/>
      <x:c r="C90" s="903"/>
      <x:c r="D90" s="1105" t="n">
        <x:f>'01_Inputs_Historicals'!D24</x:f>
      </x:c>
      <x:c r="E90" s="1106" t="n">
        <x:f>E88+E89</x:f>
      </x:c>
      <x:c r="F90" s="1106" t="n">
        <x:f>F88+F89</x:f>
      </x:c>
      <x:c r="G90" s="1106" t="n">
        <x:f>G88+G89</x:f>
      </x:c>
      <x:c r="H90" s="1106" t="n">
        <x:f>H88+H89</x:f>
      </x:c>
      <x:c r="I90" s="1106" t="n">
        <x:f>I88+I89</x:f>
      </x:c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10"/>
      <x:c r="B91" s="810"/>
      <x:c r="C91" s="810"/>
      <x:c r="D91" s="878"/>
      <x:c r="E91" s="878"/>
      <x:c r="F91" s="878"/>
      <x:c r="G91" s="878"/>
      <x:c r="H91" s="878"/>
      <x:c r="I91" s="878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10" t="str">
        <x:v>Interest Rate</x:v>
      </x:c>
      <x:c r="B92" s="810"/>
      <x:c r="C92" s="810"/>
      <x:c r="D92" s="878"/>
      <x:c r="E92" s="1096" t="n">
        <x:f>'01_Inputs_Historicals'!$C$82</x:f>
      </x:c>
      <x:c r="F92" s="1096" t="n">
        <x:f>'01_Inputs_Historicals'!$C$82</x:f>
      </x:c>
      <x:c r="G92" s="1096" t="n">
        <x:f>'01_Inputs_Historicals'!$C$82</x:f>
      </x:c>
      <x:c r="H92" s="1096" t="n">
        <x:f>'01_Inputs_Historicals'!$C$82</x:f>
      </x:c>
      <x:c r="I92" s="1096" t="n">
        <x:f>'01_Inputs_Historicals'!$C$82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10" t="str">
        <x:v>Interest Income</x:v>
      </x:c>
      <x:c r="B93" s="810"/>
      <x:c r="C93" s="810"/>
      <x:c r="D93" s="878"/>
      <x:c r="E93" s="1094">
        <x:f>IF('01_Inputs_Historicals'!$C$84=1,AVERAGE(E88,E90),E88)*E92</x:f>
      </x:c>
      <x:c r="F93" s="1094">
        <x:f>IF('01_Inputs_Historicals'!$C$84=1,AVERAGE(F88,F90),F88)*F92</x:f>
      </x:c>
      <x:c r="G93" s="1094">
        <x:f>IF('01_Inputs_Historicals'!$C$84=1,AVERAGE(G88,G90),G88)*G92</x:f>
      </x:c>
      <x:c r="H93" s="1094">
        <x:f>IF('01_Inputs_Historicals'!$C$84=1,AVERAGE(H88,H90),H88)*H92</x:f>
      </x:c>
      <x:c r="I93" s="1094">
        <x:f>IF('01_Inputs_Historicals'!$C$84=1,AVERAGE(I88,I90),I88)*I92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10" t="str">
        <x:v>Is Cash Negative?</x:v>
      </x:c>
      <x:c r="B94" s="810"/>
      <x:c r="C94" s="810"/>
      <x:c r="D94" s="810"/>
      <x:c r="E94" s="810" t="str">
        <x:f>IF(E90&lt;0,"CHECK","OK")</x:f>
      </x:c>
      <x:c r="F94" s="810" t="str">
        <x:f>IF(F90&lt;0,"CHECK","OK")</x:f>
      </x:c>
      <x:c r="G94" s="810" t="str">
        <x:f>IF(G90&lt;0,"CHECK","OK")</x:f>
      </x:c>
      <x:c r="H94" s="810" t="str">
        <x:f>IF(H90&lt;0,"CHECK","OK")</x:f>
      </x:c>
      <x:c r="I94" s="810" t="str">
        <x:f>IF(I90&lt;0,"CHECK","OK")</x:f>
      </x:c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605" t="str">
        <x:v>LONG TERM DEBT</x:v>
      </x:c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10" t="str">
        <x:v>Beginning Balance</x:v>
      </x:c>
      <x:c r="B98" s="810"/>
      <x:c r="C98" s="810"/>
      <x:c r="D98" s="878"/>
      <x:c r="E98" s="1089" t="n">
        <x:f>D100</x:f>
      </x:c>
      <x:c r="F98" s="1089" t="n">
        <x:f>E100</x:f>
      </x:c>
      <x:c r="G98" s="1089" t="n">
        <x:f>F100</x:f>
      </x:c>
      <x:c r="H98" s="1089" t="n">
        <x:f>G100</x:f>
      </x:c>
      <x:c r="I98" s="1089" t="n">
        <x:f>H100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10" t="str">
        <x:v>Increase / (Decrease)</x:v>
      </x:c>
      <x:c r="B99" s="810"/>
      <x:c r="C99" s="810"/>
      <x:c r="D99" s="878"/>
      <x:c r="E99" s="1094" t="n">
        <x:f>'02_Operating_Model'!E177+'02_Operating_Model'!E178</x:f>
      </x:c>
      <x:c r="F99" s="1094" t="n">
        <x:f>'02_Operating_Model'!F177+'02_Operating_Model'!F178</x:f>
      </x:c>
      <x:c r="G99" s="1094" t="n">
        <x:f>'02_Operating_Model'!G177+'02_Operating_Model'!G178</x:f>
      </x:c>
      <x:c r="H99" s="1094" t="n">
        <x:f>'02_Operating_Model'!H177+'02_Operating_Model'!H178</x:f>
      </x:c>
      <x:c r="I99" s="1094" t="n">
        <x:f>'02_Operating_Model'!I177+'02_Operating_Model'!I178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903" t="str">
        <x:v>Ending Balance</x:v>
      </x:c>
      <x:c r="B100" s="903"/>
      <x:c r="C100" s="903"/>
      <x:c r="D100" s="1105" t="n">
        <x:f>'01_Inputs_Historicals'!D29</x:f>
      </x:c>
      <x:c r="E100" s="1106" t="n">
        <x:f>E98+E99</x:f>
      </x:c>
      <x:c r="F100" s="1106" t="n">
        <x:f>F98+F99</x:f>
      </x:c>
      <x:c r="G100" s="1106" t="n">
        <x:f>G98+G99</x:f>
      </x:c>
      <x:c r="H100" s="1106" t="n">
        <x:f>H98+H99</x:f>
      </x:c>
      <x:c r="I100" s="1106" t="n">
        <x:f>I98+I99</x:f>
      </x:c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10"/>
      <x:c r="B101" s="810"/>
      <x:c r="C101" s="810"/>
      <x:c r="D101" s="878"/>
      <x:c r="E101" s="878"/>
      <x:c r="F101" s="878"/>
      <x:c r="G101" s="878"/>
      <x:c r="H101" s="878"/>
      <x:c r="I101" s="878"/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10" t="str">
        <x:v>Interest Rate</x:v>
      </x:c>
      <x:c r="B102" s="810"/>
      <x:c r="C102" s="810"/>
      <x:c r="D102" s="878"/>
      <x:c r="E102" s="1096" t="n">
        <x:f>'01_Inputs_Historicals'!$C$62</x:f>
      </x:c>
      <x:c r="F102" s="1096" t="n">
        <x:f>'01_Inputs_Historicals'!$C$62</x:f>
      </x:c>
      <x:c r="G102" s="1096" t="n">
        <x:f>'01_Inputs_Historicals'!$C$62</x:f>
      </x:c>
      <x:c r="H102" s="1096" t="n">
        <x:f>'01_Inputs_Historicals'!$C$62</x:f>
      </x:c>
      <x:c r="I102" s="1096" t="n">
        <x:f>'01_Inputs_Historicals'!$C$62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10" t="str">
        <x:v>Interest Expense</x:v>
      </x:c>
      <x:c r="B103" s="810"/>
      <x:c r="C103" s="810"/>
      <x:c r="D103" s="878"/>
      <x:c r="E103" s="1089" t="n">
        <x:f>-AVERAGE(E98,E100)*E102</x:f>
      </x:c>
      <x:c r="F103" s="1089" t="n">
        <x:f>-AVERAGE(F98,F100)*F102</x:f>
      </x:c>
      <x:c r="G103" s="1089" t="n">
        <x:f>-AVERAGE(G98,G100)*G102</x:f>
      </x:c>
      <x:c r="H103" s="1089" t="n">
        <x:f>-AVERAGE(H98,H100)*H102</x:f>
      </x:c>
      <x:c r="I103" s="1089" t="n">
        <x:f>-AVERAGE(I98,I100)*I102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10" t="str">
        <x:v>Does Debt Turn Negative?</x:v>
      </x:c>
      <x:c r="B104" s="810"/>
      <x:c r="C104" s="810"/>
      <x:c r="D104" s="810"/>
      <x:c r="E104" s="810" t="str">
        <x:f>IF(E100&lt;0,"CHECK","OK")</x:f>
      </x:c>
      <x:c r="F104" s="810" t="str">
        <x:f>IF(F100&lt;0,"CHECK","OK")</x:f>
      </x:c>
      <x:c r="G104" s="810" t="str">
        <x:f>IF(G100&lt;0,"CHECK","OK")</x:f>
      </x:c>
      <x:c r="H104" s="810" t="str">
        <x:f>IF(H100&lt;0,"CHECK","OK")</x:f>
      </x:c>
      <x:c r="I104" s="810" t="str">
        <x:f>IF(I100&lt;0,"CHECK","OK")</x:f>
      </x:c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335"/>
      <x:c r="B105" s="335"/>
      <x:c r="C105" s="335"/>
      <x:c r="D105" s="335"/>
      <x:c r="E105" s="335"/>
      <x:c r="F105" s="335"/>
      <x:c r="G105" s="335"/>
      <x:c r="H105" s="335"/>
      <x:c r="I105" s="335"/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>
      <x:c r="A108" s="604" t="str">
        <x:v>Revolver Schedule</x:v>
      </x:c>
      <x:c r="B108" s="604"/>
      <x:c r="C108" s="604"/>
      <x:c r="D108" s="604"/>
      <x:c r="E108" s="604"/>
      <x:c r="F108" s="604"/>
      <x:c r="G108" s="604"/>
      <x:c r="H108" s="604"/>
      <x:c r="I108" s="604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 outlineLevel="1">
      <x:c r="A109" s="335"/>
      <x:c r="B109" s="335"/>
      <x:c r="C109" s="335"/>
      <x:c r="D109" s="335"/>
      <x:c r="E109" s="335"/>
      <x:c r="F109" s="335"/>
      <x:c r="G109" s="335"/>
      <x:c r="H109" s="335"/>
      <x:c r="I109" s="335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 outlineLevel="1">
      <x:c r="A110" s="810" t="str">
        <x:v>Beginning Cash Balance</x:v>
      </x:c>
      <x:c r="B110" s="810"/>
      <x:c r="C110" s="810"/>
      <x:c r="D110" s="810"/>
      <x:c r="E110" s="1089" t="n">
        <x:f>E50</x:f>
      </x:c>
      <x:c r="F110" s="1089" t="n">
        <x:f>F50</x:f>
      </x:c>
      <x:c r="G110" s="1089" t="n">
        <x:f>G50</x:f>
      </x:c>
      <x:c r="H110" s="1089" t="n">
        <x:f>H50</x:f>
      </x:c>
      <x:c r="I110" s="1089" t="n">
        <x:f>I50</x:f>
      </x:c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810" t="str">
        <x:v>Cash from Operations</x:v>
      </x:c>
      <x:c r="B111" s="810"/>
      <x:c r="C111" s="810"/>
      <x:c r="D111" s="810"/>
      <x:c r="E111" s="1089" t="n">
        <x:f>E36</x:f>
      </x:c>
      <x:c r="F111" s="1089" t="n">
        <x:f>F36</x:f>
      </x:c>
      <x:c r="G111" s="1089" t="n">
        <x:f>G36</x:f>
      </x:c>
      <x:c r="H111" s="1089" t="n">
        <x:f>H36</x:f>
      </x:c>
      <x:c r="I111" s="1089" t="n">
        <x:f>I36</x:f>
      </x:c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10" t="str">
        <x:v>Cash from Investing</x:v>
      </x:c>
      <x:c r="B112" s="810"/>
      <x:c r="C112" s="810"/>
      <x:c r="D112" s="810"/>
      <x:c r="E112" s="1089" t="n">
        <x:f>E40</x:f>
      </x:c>
      <x:c r="F112" s="1089" t="n">
        <x:f>F40</x:f>
      </x:c>
      <x:c r="G112" s="1089" t="n">
        <x:f>G40</x:f>
      </x:c>
      <x:c r="H112" s="1089" t="n">
        <x:f>H40</x:f>
      </x:c>
      <x:c r="I112" s="1089" t="n">
        <x:f>I40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10" t="str">
        <x:v>Change in Long-Term Debt</x:v>
      </x:c>
      <x:c r="B113" s="810"/>
      <x:c r="C113" s="810"/>
      <x:c r="D113" s="810"/>
      <x:c r="E113" s="1089" t="n">
        <x:f>E99</x:f>
      </x:c>
      <x:c r="F113" s="1089" t="n">
        <x:f>F99</x:f>
      </x:c>
      <x:c r="G113" s="1089" t="n">
        <x:f>G99</x:f>
      </x:c>
      <x:c r="H113" s="1089" t="n">
        <x:f>H99</x:f>
      </x:c>
      <x:c r="I113" s="1089" t="n">
        <x:f>I99</x:f>
      </x:c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10" t="str">
        <x:v>Change in Common Equity</x:v>
      </x:c>
      <x:c r="B114" s="810"/>
      <x:c r="C114" s="810"/>
      <x:c r="D114" s="810"/>
      <x:c r="E114" s="1094" t="n">
        <x:f>'01_Inputs_Historicals'!$C$85</x:f>
      </x:c>
      <x:c r="F114" s="1094" t="n">
        <x:f>'01_Inputs_Historicals'!$C$85</x:f>
      </x:c>
      <x:c r="G114" s="1094" t="n">
        <x:f>'01_Inputs_Historicals'!$C$85</x:f>
      </x:c>
      <x:c r="H114" s="1094" t="n">
        <x:f>'01_Inputs_Historicals'!$C$85</x:f>
      </x:c>
      <x:c r="I114" s="1094" t="n">
        <x:f>'01_Inputs_Historicals'!$C$85</x:f>
      </x:c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10" t="str">
        <x:v>Dividends</x:v>
      </x:c>
      <x:c r="B115" s="810"/>
      <x:c r="C115" s="810"/>
      <x:c r="D115" s="810"/>
      <x:c r="E115" s="1089" t="n">
        <x:f>E45</x:f>
      </x:c>
      <x:c r="F115" s="1089" t="n">
        <x:f>F45</x:f>
      </x:c>
      <x:c r="G115" s="1089" t="n">
        <x:f>G45</x:f>
      </x:c>
      <x:c r="H115" s="1089" t="n">
        <x:f>H45</x:f>
      </x:c>
      <x:c r="I115" s="1089" t="n">
        <x:f>I45</x:f>
      </x:c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93" t="str">
        <x:v>Pre-Revolver Cash</x:v>
      </x:c>
      <x:c r="B116" s="893"/>
      <x:c r="C116" s="893"/>
      <x:c r="D116" s="893"/>
      <x:c r="E116" s="1092" t="n">
        <x:f>SUM(E110:E115)</x:f>
      </x:c>
      <x:c r="F116" s="1092" t="n">
        <x:f>SUM(F110:F115)</x:f>
      </x:c>
      <x:c r="G116" s="1092" t="n">
        <x:f>SUM(G110:G115)</x:f>
      </x:c>
      <x:c r="H116" s="1092" t="n">
        <x:f>SUM(H110:H115)</x:f>
      </x:c>
      <x:c r="I116" s="1092" t="n">
        <x:f>SUM(I110:I115)</x:f>
      </x:c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10"/>
      <x:c r="B117" s="810"/>
      <x:c r="C117" s="810"/>
      <x:c r="D117" s="810"/>
      <x:c r="E117" s="878"/>
      <x:c r="F117" s="878"/>
      <x:c r="G117" s="878"/>
      <x:c r="H117" s="878"/>
      <x:c r="I117" s="878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10"/>
      <x:c r="B118" s="810"/>
      <x:c r="C118" s="810"/>
      <x:c r="D118" s="810"/>
      <x:c r="E118" s="878"/>
      <x:c r="F118" s="878"/>
      <x:c r="G118" s="878"/>
      <x:c r="H118" s="878"/>
      <x:c r="I118" s="878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10" t="str">
        <x:v>Minimum Cash Balance</x:v>
      </x:c>
      <x:c r="B119" s="810"/>
      <x:c r="C119" s="810"/>
      <x:c r="D119" s="810"/>
      <x:c r="E119" s="1094" t="n">
        <x:f>'01_Inputs_Historicals'!$C$80</x:f>
      </x:c>
      <x:c r="F119" s="1094" t="n">
        <x:f>'01_Inputs_Historicals'!$C$80</x:f>
      </x:c>
      <x:c r="G119" s="1094" t="n">
        <x:f>'01_Inputs_Historicals'!$C$80</x:f>
      </x:c>
      <x:c r="H119" s="1094" t="n">
        <x:f>'01_Inputs_Historicals'!$C$80</x:f>
      </x:c>
      <x:c r="I119" s="1094" t="n">
        <x:f>'01_Inputs_Historicals'!$C$80</x:f>
      </x:c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10" t="str">
        <x:v>Cash Available / (Shortfall)</x:v>
      </x:c>
      <x:c r="B120" s="810"/>
      <x:c r="C120" s="810"/>
      <x:c r="D120" s="810"/>
      <x:c r="E120" s="1089" t="n">
        <x:f>E116-E119</x:f>
      </x:c>
      <x:c r="F120" s="1089" t="n">
        <x:f>F116-F119</x:f>
      </x:c>
      <x:c r="G120" s="1089" t="n">
        <x:f>G116-G119</x:f>
      </x:c>
      <x:c r="H120" s="1089" t="n">
        <x:f>H116-H119</x:f>
      </x:c>
      <x:c r="I120" s="1089" t="n">
        <x:f>I116-I119</x:f>
      </x:c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10"/>
      <x:c r="B121" s="810"/>
      <x:c r="C121" s="810"/>
      <x:c r="D121" s="810"/>
      <x:c r="E121" s="878"/>
      <x:c r="F121" s="878"/>
      <x:c r="G121" s="878"/>
      <x:c r="H121" s="878"/>
      <x:c r="I121" s="878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10"/>
      <x:c r="B122" s="810"/>
      <x:c r="C122" s="810"/>
      <x:c r="D122" s="810"/>
      <x:c r="E122" s="878"/>
      <x:c r="F122" s="878"/>
      <x:c r="G122" s="878"/>
      <x:c r="H122" s="878"/>
      <x:c r="I122" s="878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10" t="str">
        <x:v>Beginning Revolver</x:v>
      </x:c>
      <x:c r="B123" s="810"/>
      <x:c r="C123" s="810"/>
      <x:c r="D123" s="810"/>
      <x:c r="E123" s="1089" t="n">
        <x:f>D125</x:f>
      </x:c>
      <x:c r="F123" s="1089" t="n">
        <x:f>E125</x:f>
      </x:c>
      <x:c r="G123" s="1089" t="n">
        <x:f>F125</x:f>
      </x:c>
      <x:c r="H123" s="1089" t="n">
        <x:f>G125</x:f>
      </x:c>
      <x:c r="I123" s="1089" t="n">
        <x:f>H125</x:f>
      </x:c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10" t="str">
        <x:v>Increase / (Decrease)</x:v>
      </x:c>
      <x:c r="B124" s="810"/>
      <x:c r="C124" s="810"/>
      <x:c r="D124" s="810"/>
      <x:c r="E124" s="1094" t="n">
        <x:f>IF(E120&lt;0,MIN(-E120,'01_Inputs_Historicals'!$C$81-E123),IF('01_Inputs_Historicals'!$C$87=1,-MIN(E120,E123),0))</x:f>
      </x:c>
      <x:c r="F124" s="1094" t="n">
        <x:f>IF(F120&lt;0,MIN(-F120,'01_Inputs_Historicals'!$C$81-F123),IF('01_Inputs_Historicals'!$C$87=1,-MIN(F120,F123),0))</x:f>
      </x:c>
      <x:c r="G124" s="1094" t="n">
        <x:f>IF(G120&lt;0,MIN(-G120,'01_Inputs_Historicals'!$C$81-G123),IF('01_Inputs_Historicals'!$C$87=1,-MIN(G120,G123),0))</x:f>
      </x:c>
      <x:c r="H124" s="1094" t="n">
        <x:f>IF(H120&lt;0,MIN(-H120,'01_Inputs_Historicals'!$C$81-H123),IF('01_Inputs_Historicals'!$C$87=1,-MIN(H120,H123),0))</x:f>
      </x:c>
      <x:c r="I124" s="1094" t="n">
        <x:f>IF(I120&lt;0,MIN(-I120,'01_Inputs_Historicals'!$C$81-I123),IF('01_Inputs_Historicals'!$C$87=1,-MIN(I120,I123),0))</x:f>
      </x:c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93" t="str">
        <x:v>Ending Revolver</x:v>
      </x:c>
      <x:c r="B125" s="893"/>
      <x:c r="C125" s="893"/>
      <x:c r="D125" s="1107" t="n">
        <x:v>0</x:v>
      </x:c>
      <x:c r="E125" s="1092" t="n">
        <x:f>E123+E124</x:f>
      </x:c>
      <x:c r="F125" s="1092" t="n">
        <x:f>F123+F124</x:f>
      </x:c>
      <x:c r="G125" s="1092" t="n">
        <x:f>G123+G124</x:f>
      </x:c>
      <x:c r="H125" s="1092" t="n">
        <x:f>H123+H124</x:f>
      </x:c>
      <x:c r="I125" s="1092" t="n">
        <x:f>I123+I124</x:f>
      </x:c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10"/>
      <x:c r="B126" s="810"/>
      <x:c r="C126" s="810"/>
      <x:c r="D126" s="810"/>
      <x:c r="E126" s="878"/>
      <x:c r="F126" s="878"/>
      <x:c r="G126" s="878"/>
      <x:c r="H126" s="878"/>
      <x:c r="I126" s="878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10" t="str">
        <x:v>Maximum Revolver</x:v>
      </x:c>
      <x:c r="B127" s="810"/>
      <x:c r="C127" s="810"/>
      <x:c r="D127" s="810"/>
      <x:c r="E127" s="1094" t="n">
        <x:f>'01_Inputs_Historicals'!$C$81</x:f>
      </x:c>
      <x:c r="F127" s="1094" t="n">
        <x:f>'01_Inputs_Historicals'!$C$81</x:f>
      </x:c>
      <x:c r="G127" s="1094" t="n">
        <x:f>'01_Inputs_Historicals'!$C$81</x:f>
      </x:c>
      <x:c r="H127" s="1094" t="n">
        <x:f>'01_Inputs_Historicals'!$C$81</x:f>
      </x:c>
      <x:c r="I127" s="1094" t="n">
        <x:f>'01_Inputs_Historicals'!$C$81</x:f>
      </x:c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10" t="str">
        <x:v>Revolver Interest Rate</x:v>
      </x:c>
      <x:c r="B128" s="810"/>
      <x:c r="C128" s="810"/>
      <x:c r="D128" s="810"/>
      <x:c r="E128" s="1096" t="n">
        <x:f>'01_Inputs_Historicals'!$C$83</x:f>
      </x:c>
      <x:c r="F128" s="1096" t="n">
        <x:f>'01_Inputs_Historicals'!$C$83</x:f>
      </x:c>
      <x:c r="G128" s="1096" t="n">
        <x:f>'01_Inputs_Historicals'!$C$83</x:f>
      </x:c>
      <x:c r="H128" s="1096" t="n">
        <x:f>'01_Inputs_Historicals'!$C$83</x:f>
      </x:c>
      <x:c r="I128" s="1096" t="n">
        <x:f>'01_Inputs_Historicals'!$C$83</x:f>
      </x:c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10" t="str">
        <x:v>Revolver Interest Expense</x:v>
      </x:c>
      <x:c r="B129" s="810"/>
      <x:c r="C129" s="810"/>
      <x:c r="D129" s="810"/>
      <x:c r="E129" s="1094" t="n">
        <x:f>-IF('01_Inputs_Historicals'!$C$84=1,AVERAGE(E123,E125),E123)*E128</x:f>
      </x:c>
      <x:c r="F129" s="1094" t="n">
        <x:f>-IF('01_Inputs_Historicals'!$C$84=1,AVERAGE(F123,F125),F123)*F128</x:f>
      </x:c>
      <x:c r="G129" s="1094" t="n">
        <x:f>-IF('01_Inputs_Historicals'!$C$84=1,AVERAGE(G123,G125),G123)*G128</x:f>
      </x:c>
      <x:c r="H129" s="1094" t="n">
        <x:f>-IF('01_Inputs_Historicals'!$C$84=1,AVERAGE(H123,H125),H123)*H128</x:f>
      </x:c>
      <x:c r="I129" s="1094" t="n">
        <x:f>-IF('01_Inputs_Historicals'!$C$84=1,AVERAGE(I123,I125),I123)*I128</x:f>
      </x:c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10" t="str">
        <x:v>Does Revolver Exceed Maximum?</x:v>
      </x:c>
      <x:c r="B130" s="810"/>
      <x:c r="C130" s="810"/>
      <x:c r="D130" s="810"/>
      <x:c r="E130" s="878" t="str">
        <x:f>IF(E125&gt;E127,"CHECK","OK")</x:f>
      </x:c>
      <x:c r="F130" s="878" t="str">
        <x:f>IF(F125&gt;F127,"CHECK","OK")</x:f>
      </x:c>
      <x:c r="G130" s="878" t="str">
        <x:f>IF(G125&gt;G127,"CHECK","OK")</x:f>
      </x:c>
      <x:c r="H130" s="878" t="str">
        <x:f>IF(H125&gt;H127,"CHECK","OK")</x:f>
      </x:c>
      <x:c r="I130" s="878" t="str">
        <x:f>IF(I125&gt;I127,"CHECK","OK")</x:f>
      </x:c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10"/>
      <x:c r="B131" s="810"/>
      <x:c r="C131" s="810"/>
      <x:c r="D131" s="810"/>
      <x:c r="E131" s="878"/>
      <x:c r="F131" s="878"/>
      <x:c r="G131" s="878"/>
      <x:c r="H131" s="878"/>
      <x:c r="I131" s="878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10"/>
      <x:c r="B132" s="810"/>
      <x:c r="C132" s="810"/>
      <x:c r="D132" s="810"/>
      <x:c r="E132" s="878"/>
      <x:c r="F132" s="878"/>
      <x:c r="G132" s="878"/>
      <x:c r="H132" s="878"/>
      <x:c r="I132" s="878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10" t="str">
        <x:v>Long-Term Debt Interest</x:v>
      </x:c>
      <x:c r="B133" s="810"/>
      <x:c r="C133" s="810"/>
      <x:c r="D133" s="810"/>
      <x:c r="E133" s="1089" t="n">
        <x:f>E103</x:f>
      </x:c>
      <x:c r="F133" s="1089" t="n">
        <x:f>F103</x:f>
      </x:c>
      <x:c r="G133" s="1089" t="n">
        <x:f>G103</x:f>
      </x:c>
      <x:c r="H133" s="1089" t="n">
        <x:f>H103</x:f>
      </x:c>
      <x:c r="I133" s="1089" t="n">
        <x:f>I103</x:f>
      </x:c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10" t="str">
        <x:v>Revolver Interest</x:v>
      </x:c>
      <x:c r="B134" s="810"/>
      <x:c r="C134" s="810"/>
      <x:c r="D134" s="810"/>
      <x:c r="E134" s="1089" t="n">
        <x:f>E129</x:f>
      </x:c>
      <x:c r="F134" s="1089" t="n">
        <x:f>F129</x:f>
      </x:c>
      <x:c r="G134" s="1089" t="n">
        <x:f>G129</x:f>
      </x:c>
      <x:c r="H134" s="1089" t="n">
        <x:f>H129</x:f>
      </x:c>
      <x:c r="I134" s="1089" t="n">
        <x:f>I129</x:f>
      </x:c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10" t="str">
        <x:v>Less: Interest Income</x:v>
      </x:c>
      <x:c r="B135" s="810"/>
      <x:c r="C135" s="810"/>
      <x:c r="D135" s="810"/>
      <x:c r="E135" s="1089" t="n">
        <x:f>E93</x:f>
      </x:c>
      <x:c r="F135" s="1089" t="n">
        <x:f>F93</x:f>
      </x:c>
      <x:c r="G135" s="1089" t="n">
        <x:f>G93</x:f>
      </x:c>
      <x:c r="H135" s="1089" t="n">
        <x:f>H93</x:f>
      </x:c>
      <x:c r="I135" s="1089" t="n">
        <x:f>I93</x:f>
      </x:c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93" t="str">
        <x:v>Net Interest Expense</x:v>
      </x:c>
      <x:c r="B136" s="893"/>
      <x:c r="C136" s="893"/>
      <x:c r="D136" s="893"/>
      <x:c r="E136" s="1092" t="n">
        <x:f>SUM(E133:E135)</x:f>
      </x:c>
      <x:c r="F136" s="1092" t="n">
        <x:f>SUM(F133:F135)</x:f>
      </x:c>
      <x:c r="G136" s="1092" t="n">
        <x:f>SUM(G133:G135)</x:f>
      </x:c>
      <x:c r="H136" s="1092" t="n">
        <x:f>SUM(H133:H135)</x:f>
      </x:c>
      <x:c r="I136" s="1092" t="n">
        <x:f>SUM(I133:I135)</x:f>
      </x:c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10" t="str">
        <x:v>Interest Bridge Check</x:v>
      </x:c>
      <x:c r="B137" s="810"/>
      <x:c r="C137" s="810"/>
      <x:c r="D137" s="810"/>
      <x:c r="E137" s="810" t="str">
        <x:f>IF(ABS(E136-(E133+E134+E135))&lt;0.01,"OK","CHECK")</x:f>
      </x:c>
      <x:c r="F137" s="810" t="str">
        <x:f>IF(ABS(F136-(F133+F134+F135))&lt;0.01,"OK","CHECK")</x:f>
      </x:c>
      <x:c r="G137" s="810" t="str">
        <x:f>IF(ABS(G136-(G133+G134+G135))&lt;0.01,"OK","CHECK")</x:f>
      </x:c>
      <x:c r="H137" s="810" t="str">
        <x:f>IF(ABS(H136-(H133+H134+H135))&lt;0.01,"OK","CHECK")</x:f>
      </x:c>
      <x:c r="I137" s="810" t="str">
        <x:f>IF(ABS(I136-(I133+I134+I135))&lt;0.01,"OK","CHECK")</x:f>
      </x:c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335"/>
      <x:c r="B138" s="335"/>
      <x:c r="C138" s="335"/>
      <x:c r="D138" s="335"/>
      <x:c r="E138" s="335"/>
      <x:c r="F138" s="335"/>
      <x:c r="G138" s="335"/>
      <x:c r="H138" s="335"/>
      <x:c r="I138" s="335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>
      <x:c r="A139" s="335"/>
      <x:c r="B139" s="335"/>
      <x:c r="C139" s="335"/>
      <x:c r="D139" s="335"/>
      <x:c r="E139" s="335"/>
      <x:c r="F139" s="335"/>
      <x:c r="G139" s="335"/>
      <x:c r="H139" s="335"/>
      <x:c r="I139" s="335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>
      <x:c r="A140" s="335"/>
      <x:c r="B140" s="335"/>
      <x:c r="C140" s="335"/>
      <x:c r="D140" s="335"/>
      <x:c r="E140" s="335"/>
      <x:c r="F140" s="335"/>
      <x:c r="G140" s="335"/>
      <x:c r="H140" s="335"/>
      <x:c r="I140" s="335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>
      <x:c r="A141" s="604" t="str">
        <x:v>Equity &amp; Retained Earnings Schedule</x:v>
      </x:c>
      <x:c r="B141" s="604"/>
      <x:c r="C141" s="604"/>
      <x:c r="D141" s="604"/>
      <x:c r="E141" s="604"/>
      <x:c r="F141" s="604"/>
      <x:c r="G141" s="604"/>
      <x:c r="H141" s="604"/>
      <x:c r="I141" s="604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335"/>
      <x:c r="B142" s="335"/>
      <x:c r="C142" s="335"/>
      <x:c r="D142" s="335"/>
      <x:c r="E142" s="335"/>
      <x:c r="F142" s="335"/>
      <x:c r="G142" s="335"/>
      <x:c r="H142" s="335"/>
      <x:c r="I142" s="335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605" t="str">
        <x:v>COMMON EQUITY</x:v>
      </x:c>
      <x:c r="B143" s="335"/>
      <x:c r="C143" s="335"/>
      <x:c r="D143" s="335"/>
      <x:c r="E143" s="335"/>
      <x:c r="F143" s="335"/>
      <x:c r="G143" s="335"/>
      <x:c r="H143" s="335"/>
      <x:c r="I143" s="335"/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10" t="str">
        <x:v>Beginning Balance</x:v>
      </x:c>
      <x:c r="B144" s="810"/>
      <x:c r="C144" s="810"/>
      <x:c r="D144" s="878"/>
      <x:c r="E144" s="1089" t="n">
        <x:f>D146</x:f>
      </x:c>
      <x:c r="F144" s="1089" t="n">
        <x:f>E146</x:f>
      </x:c>
      <x:c r="G144" s="1089" t="n">
        <x:f>F146</x:f>
      </x:c>
      <x:c r="H144" s="1089" t="n">
        <x:f>G146</x:f>
      </x:c>
      <x:c r="I144" s="1089" t="n">
        <x:f>H146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10" t="str">
        <x:v>Increase / (Decrease)</x:v>
      </x:c>
      <x:c r="B145" s="810"/>
      <x:c r="C145" s="810"/>
      <x:c r="D145" s="878"/>
      <x:c r="E145" s="1094" t="n">
        <x:f>'01_Inputs_Historicals'!$C$85</x:f>
      </x:c>
      <x:c r="F145" s="1094" t="n">
        <x:f>'01_Inputs_Historicals'!$C$85</x:f>
      </x:c>
      <x:c r="G145" s="1094" t="n">
        <x:f>'01_Inputs_Historicals'!$C$85</x:f>
      </x:c>
      <x:c r="H145" s="1094" t="n">
        <x:f>'01_Inputs_Historicals'!$C$85</x:f>
      </x:c>
      <x:c r="I145" s="1094" t="n">
        <x:f>'01_Inputs_Historicals'!$C$85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903" t="str">
        <x:v>Ending Balance</x:v>
      </x:c>
      <x:c r="B146" s="903"/>
      <x:c r="C146" s="903"/>
      <x:c r="D146" s="1105" t="n">
        <x:f>'01_Inputs_Historicals'!D31</x:f>
      </x:c>
      <x:c r="E146" s="1106" t="n">
        <x:f>E144+E145</x:f>
      </x:c>
      <x:c r="F146" s="1106" t="n">
        <x:f>F144+F145</x:f>
      </x:c>
      <x:c r="G146" s="1106" t="n">
        <x:f>G144+G145</x:f>
      </x:c>
      <x:c r="H146" s="1106" t="n">
        <x:f>H144+H145</x:f>
      </x:c>
      <x:c r="I146" s="1106" t="n">
        <x:f>I144+I145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810"/>
      <x:c r="B147" s="810"/>
      <x:c r="C147" s="810"/>
      <x:c r="D147" s="878"/>
      <x:c r="E147" s="878"/>
      <x:c r="F147" s="878"/>
      <x:c r="G147" s="878"/>
      <x:c r="H147" s="878"/>
      <x:c r="I147" s="878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810" t="str">
        <x:v>Net Income</x:v>
      </x:c>
      <x:c r="B148" s="810"/>
      <x:c r="C148" s="810"/>
      <x:c r="D148" s="878"/>
      <x:c r="E148" s="1089" t="n">
        <x:f>E26</x:f>
      </x:c>
      <x:c r="F148" s="1089" t="n">
        <x:f>F26</x:f>
      </x:c>
      <x:c r="G148" s="1089" t="n">
        <x:f>G26</x:f>
      </x:c>
      <x:c r="H148" s="1089" t="n">
        <x:f>H26</x:f>
      </x:c>
      <x:c r="I148" s="1089" t="n">
        <x:f>I26</x:f>
      </x:c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 outlineLevel="1">
      <x:c r="A149" s="810" t="str">
        <x:v>Payout Ratio</x:v>
      </x:c>
      <x:c r="B149" s="810"/>
      <x:c r="C149" s="810"/>
      <x:c r="D149" s="878"/>
      <x:c r="E149" s="1096" t="n">
        <x:f>'01_Inputs_Historicals'!C53</x:f>
      </x:c>
      <x:c r="F149" s="1096" t="n">
        <x:f>'01_Inputs_Historicals'!D53</x:f>
      </x:c>
      <x:c r="G149" s="1096" t="n">
        <x:f>'01_Inputs_Historicals'!E53</x:f>
      </x:c>
      <x:c r="H149" s="1096" t="n">
        <x:f>'01_Inputs_Historicals'!F53</x:f>
      </x:c>
      <x:c r="I149" s="1096" t="n">
        <x:f>'01_Inputs_Historicals'!G53</x:f>
      </x:c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 outlineLevel="1">
      <x:c r="A150" s="903" t="str">
        <x:v>Dividends</x:v>
      </x:c>
      <x:c r="B150" s="903"/>
      <x:c r="C150" s="903"/>
      <x:c r="D150" s="904"/>
      <x:c r="E150" s="1106" t="n">
        <x:f>E45</x:f>
      </x:c>
      <x:c r="F150" s="1106" t="n">
        <x:f>F45</x:f>
      </x:c>
      <x:c r="G150" s="1106" t="n">
        <x:f>G45</x:f>
      </x:c>
      <x:c r="H150" s="1106" t="n">
        <x:f>H45</x:f>
      </x:c>
      <x:c r="I150" s="1106" t="n">
        <x:f>I45</x:f>
      </x:c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810" t="str">
        <x:v>Are Dividends a Cash Inflow?</x:v>
      </x:c>
      <x:c r="B151" s="810"/>
      <x:c r="C151" s="810"/>
      <x:c r="D151" s="810"/>
      <x:c r="E151" s="810" t="str">
        <x:f>IF(E150&gt;0,"CHECK","OK")</x:f>
      </x:c>
      <x:c r="F151" s="810" t="str">
        <x:f>IF(F150&gt;0,"CHECK","OK")</x:f>
      </x:c>
      <x:c r="G151" s="810" t="str">
        <x:f>IF(G150&gt;0,"CHECK","OK")</x:f>
      </x:c>
      <x:c r="H151" s="810" t="str">
        <x:f>IF(H150&gt;0,"CHECK","OK")</x:f>
      </x:c>
      <x:c r="I151" s="810" t="str">
        <x:f>IF(I150&gt;0,"CHECK","OK")</x:f>
      </x:c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/>
      <x:c r="B152" s="810"/>
      <x:c r="C152" s="810"/>
      <x:c r="D152" s="810"/>
      <x:c r="E152" s="810"/>
      <x:c r="F152" s="810"/>
      <x:c r="G152" s="810"/>
      <x:c r="H152" s="810"/>
      <x:c r="I152" s="810"/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/>
      <x:c r="B153" s="810"/>
      <x:c r="C153" s="810"/>
      <x:c r="D153" s="810"/>
      <x:c r="E153" s="810"/>
      <x:c r="F153" s="810"/>
      <x:c r="G153" s="810"/>
      <x:c r="H153" s="810"/>
      <x:c r="I153" s="810"/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901" t="str">
        <x:v>RETAINED EARNINGS</x:v>
      </x:c>
      <x:c r="B154" s="810"/>
      <x:c r="C154" s="810"/>
      <x:c r="D154" s="810"/>
      <x:c r="E154" s="810"/>
      <x:c r="F154" s="810"/>
      <x:c r="G154" s="810"/>
      <x:c r="H154" s="810"/>
      <x:c r="I154" s="810"/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 t="str">
        <x:v>Beginning Balance</x:v>
      </x:c>
      <x:c r="B155" s="810"/>
      <x:c r="C155" s="810"/>
      <x:c r="D155" s="878"/>
      <x:c r="E155" s="1089" t="n">
        <x:f>D158</x:f>
      </x:c>
      <x:c r="F155" s="1089" t="n">
        <x:f>E158</x:f>
      </x:c>
      <x:c r="G155" s="1089" t="n">
        <x:f>F158</x:f>
      </x:c>
      <x:c r="H155" s="1089" t="n">
        <x:f>G158</x:f>
      </x:c>
      <x:c r="I155" s="1089" t="n">
        <x:f>H158</x:f>
      </x:c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 t="str">
        <x:v>Net Income</x:v>
      </x:c>
      <x:c r="B156" s="810"/>
      <x:c r="C156" s="810"/>
      <x:c r="D156" s="878"/>
      <x:c r="E156" s="1089" t="n">
        <x:f>E26</x:f>
      </x:c>
      <x:c r="F156" s="1089" t="n">
        <x:f>F26</x:f>
      </x:c>
      <x:c r="G156" s="1089" t="n">
        <x:f>G26</x:f>
      </x:c>
      <x:c r="H156" s="1089" t="n">
        <x:f>H26</x:f>
      </x:c>
      <x:c r="I156" s="1089" t="n">
        <x:f>I26</x:f>
      </x:c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10" t="str">
        <x:v>Dividends</x:v>
      </x:c>
      <x:c r="B157" s="810"/>
      <x:c r="C157" s="810"/>
      <x:c r="D157" s="878"/>
      <x:c r="E157" s="1089" t="n">
        <x:f>E150</x:f>
      </x:c>
      <x:c r="F157" s="1089" t="n">
        <x:f>F150</x:f>
      </x:c>
      <x:c r="G157" s="1089" t="n">
        <x:f>G150</x:f>
      </x:c>
      <x:c r="H157" s="1089" t="n">
        <x:f>H150</x:f>
      </x:c>
      <x:c r="I157" s="1089" t="n">
        <x:f>I150</x:f>
      </x:c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93" t="str">
        <x:v>Ending Balance</x:v>
      </x:c>
      <x:c r="B158" s="893"/>
      <x:c r="C158" s="893"/>
      <x:c r="D158" s="1090" t="n">
        <x:f>'01_Inputs_Historicals'!D32</x:f>
      </x:c>
      <x:c r="E158" s="1092" t="n">
        <x:f>E155+E156+E157</x:f>
      </x:c>
      <x:c r="F158" s="1092" t="n">
        <x:f>F155+F156+F157</x:f>
      </x:c>
      <x:c r="G158" s="1092" t="n">
        <x:f>G155+G156+G157</x:f>
      </x:c>
      <x:c r="H158" s="1092" t="n">
        <x:f>H155+H156+H157</x:f>
      </x:c>
      <x:c r="I158" s="1092" t="n">
        <x:f>I155+I156+I157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Retained Earnings Check</x:v>
      </x:c>
      <x:c r="B159" s="810"/>
      <x:c r="C159" s="810"/>
      <x:c r="D159" s="810"/>
      <x:c r="E159" s="810" t="str">
        <x:f>IF(ABS(E158-(E155+E156+E157))&lt;0.01,"OK","CHECK")</x:f>
      </x:c>
      <x:c r="F159" s="810" t="str">
        <x:f>IF(ABS(F158-(F155+F156+F157))&lt;0.01,"OK","CHECK")</x:f>
      </x:c>
      <x:c r="G159" s="810" t="str">
        <x:f>IF(ABS(G158-(G155+G156+G157))&lt;0.01,"OK","CHECK")</x:f>
      </x:c>
      <x:c r="H159" s="810" t="str">
        <x:f>IF(ABS(H158-(H155+H156+H157))&lt;0.01,"OK","CHECK")</x:f>
      </x:c>
      <x:c r="I159" s="810" t="str">
        <x:f>IF(ABS(I158-(I155+I156+I157))&lt;0.01,"OK","CHECK")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>
      <x:c r="A161" s="335"/>
      <x:c r="B161" s="335"/>
      <x:c r="C161" s="335"/>
      <x:c r="D161" s="335"/>
      <x:c r="E161" s="335"/>
      <x:c r="F161" s="335"/>
      <x:c r="G161" s="335"/>
      <x:c r="H161" s="335"/>
      <x:c r="I161" s="335"/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>
      <x:c r="A162" s="335"/>
      <x:c r="B162" s="335"/>
      <x:c r="C162" s="335"/>
      <x:c r="D162" s="335"/>
      <x:c r="E162" s="335"/>
      <x:c r="F162" s="335"/>
      <x:c r="G162" s="335"/>
      <x:c r="H162" s="335"/>
      <x:c r="I162" s="335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>
      <x:c r="A163" s="604" t="str">
        <x:v>Common Size: Income Statement</x:v>
      </x:c>
      <x:c r="B163" s="604"/>
      <x:c r="C163" s="604"/>
      <x:c r="D163" s="604"/>
      <x:c r="E163" s="604"/>
      <x:c r="F163" s="604"/>
      <x:c r="G163" s="604"/>
      <x:c r="H163" s="604"/>
      <x:c r="I163" s="604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335"/>
      <x:c r="B164" s="335"/>
      <x:c r="C164" s="335"/>
      <x:c r="D164" s="335"/>
      <x:c r="E164" s="335"/>
      <x:c r="F164" s="335"/>
      <x:c r="G164" s="335"/>
      <x:c r="H164" s="335"/>
      <x:c r="I164" s="335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Revenue</x:v>
      </x:c>
      <x:c r="B165" s="1108" t="n">
        <x:f>IFERROR(B8/B$8,0)</x:f>
      </x:c>
      <x:c r="C165" s="1108" t="n">
        <x:f>IFERROR(C8/C$8,0)</x:f>
      </x:c>
      <x:c r="D165" s="1108" t="n">
        <x:f>IFERROR(D8/D$8,0)</x:f>
      </x:c>
      <x:c r="E165" s="1108" t="n">
        <x:f>IFERROR(E8/E$8,0)</x:f>
      </x:c>
      <x:c r="F165" s="1108" t="n">
        <x:f>IFERROR(F8/F$8,0)</x:f>
      </x:c>
      <x:c r="G165" s="1108" t="n">
        <x:f>IFERROR(G8/G$8,0)</x:f>
      </x:c>
      <x:c r="H165" s="1108" t="n">
        <x:f>IFERROR(H8/H$8,0)</x:f>
      </x:c>
      <x:c r="I165" s="1108" t="n">
        <x:f>IFERROR(I8/I$8,0)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COGS</x:v>
      </x:c>
      <x:c r="B166" s="1108" t="n">
        <x:f>IFERROR(B9/B$8,0)</x:f>
      </x:c>
      <x:c r="C166" s="1108" t="n">
        <x:f>IFERROR(C9/C$8,0)</x:f>
      </x:c>
      <x:c r="D166" s="1108" t="n">
        <x:f>IFERROR(D9/D$8,0)</x:f>
      </x:c>
      <x:c r="E166" s="1108" t="n">
        <x:f>IFERROR(E9/E$8,0)</x:f>
      </x:c>
      <x:c r="F166" s="1108" t="n">
        <x:f>IFERROR(F9/F$8,0)</x:f>
      </x:c>
      <x:c r="G166" s="1108" t="n">
        <x:f>IFERROR(G9/G$8,0)</x:f>
      </x:c>
      <x:c r="H166" s="1108" t="n">
        <x:f>IFERROR(H9/H$8,0)</x:f>
      </x:c>
      <x:c r="I166" s="1108" t="n">
        <x:f>IFERROR(I9/I$8,0)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93" t="str">
        <x:v>Gross Profit</x:v>
      </x:c>
      <x:c r="B167" s="1109" t="n">
        <x:f>IFERROR(B10/B$8,0)</x:f>
      </x:c>
      <x:c r="C167" s="1109" t="n">
        <x:f>IFERROR(C10/C$8,0)</x:f>
      </x:c>
      <x:c r="D167" s="1109" t="n">
        <x:f>IFERROR(D10/D$8,0)</x:f>
      </x:c>
      <x:c r="E167" s="1109" t="n">
        <x:f>IFERROR(E10/E$8,0)</x:f>
      </x:c>
      <x:c r="F167" s="1109" t="n">
        <x:f>IFERROR(F10/F$8,0)</x:f>
      </x:c>
      <x:c r="G167" s="1109" t="n">
        <x:f>IFERROR(G10/G$8,0)</x:f>
      </x:c>
      <x:c r="H167" s="1109" t="n">
        <x:f>IFERROR(H10/H$8,0)</x:f>
      </x:c>
      <x:c r="I167" s="1109" t="n">
        <x:f>IFERROR(I10/I$8,0)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10"/>
      <x:c r="B168" s="812"/>
      <x:c r="C168" s="812"/>
      <x:c r="D168" s="812"/>
      <x:c r="E168" s="812"/>
      <x:c r="F168" s="812"/>
      <x:c r="G168" s="812"/>
      <x:c r="H168" s="812"/>
      <x:c r="I168" s="812"/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 t="str">
        <x:v>SG&amp;A</x:v>
      </x:c>
      <x:c r="B169" s="1108" t="n">
        <x:f>IFERROR(B12/B$8,0)</x:f>
      </x:c>
      <x:c r="C169" s="1108" t="n">
        <x:f>IFERROR(C12/C$8,0)</x:f>
      </x:c>
      <x:c r="D169" s="1108" t="n">
        <x:f>IFERROR(D12/D$8,0)</x:f>
      </x:c>
      <x:c r="E169" s="1108" t="n">
        <x:f>IFERROR(E12/E$8,0)</x:f>
      </x:c>
      <x:c r="F169" s="1108" t="n">
        <x:f>IFERROR(F12/F$8,0)</x:f>
      </x:c>
      <x:c r="G169" s="1108" t="n">
        <x:f>IFERROR(G12/G$8,0)</x:f>
      </x:c>
      <x:c r="H169" s="1108" t="n">
        <x:f>IFERROR(H12/H$8,0)</x:f>
      </x:c>
      <x:c r="I169" s="1108" t="n">
        <x:f>IFERROR(I12/I$8,0)</x:f>
      </x:c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Other OpEx</x:v>
      </x:c>
      <x:c r="B170" s="1108" t="n">
        <x:f>IFERROR(B13/B$8,0)</x:f>
      </x:c>
      <x:c r="C170" s="1108" t="n">
        <x:f>IFERROR(C13/C$8,0)</x:f>
      </x:c>
      <x:c r="D170" s="1108" t="n">
        <x:f>IFERROR(D13/D$8,0)</x:f>
      </x:c>
      <x:c r="E170" s="1108" t="n">
        <x:f>IFERROR(E13/E$8,0)</x:f>
      </x:c>
      <x:c r="F170" s="1108" t="n">
        <x:f>IFERROR(F13/F$8,0)</x:f>
      </x:c>
      <x:c r="G170" s="1108" t="n">
        <x:f>IFERROR(G13/G$8,0)</x:f>
      </x:c>
      <x:c r="H170" s="1108" t="n">
        <x:f>IFERROR(H13/H$8,0)</x:f>
      </x:c>
      <x:c r="I170" s="1108" t="n">
        <x:f>IFERROR(I13/I$8,0)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893" t="str">
        <x:v>EBITDA</x:v>
      </x:c>
      <x:c r="B171" s="1109" t="n">
        <x:f>IFERROR(B15/B$8,0)</x:f>
      </x:c>
      <x:c r="C171" s="1109" t="n">
        <x:f>IFERROR(C15/C$8,0)</x:f>
      </x:c>
      <x:c r="D171" s="1109" t="n">
        <x:f>IFERROR(D15/D$8,0)</x:f>
      </x:c>
      <x:c r="E171" s="1109" t="n">
        <x:f>IFERROR(E15/E$8,0)</x:f>
      </x:c>
      <x:c r="F171" s="1109" t="n">
        <x:f>IFERROR(F15/F$8,0)</x:f>
      </x:c>
      <x:c r="G171" s="1109" t="n">
        <x:f>IFERROR(G15/G$8,0)</x:f>
      </x:c>
      <x:c r="H171" s="1109" t="n">
        <x:f>IFERROR(H15/H$8,0)</x:f>
      </x:c>
      <x:c r="I171" s="1109" t="n">
        <x:f>IFERROR(I15/I$8,0)</x:f>
      </x:c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810"/>
      <x:c r="B172" s="812"/>
      <x:c r="C172" s="812"/>
      <x:c r="D172" s="812"/>
      <x:c r="E172" s="812"/>
      <x:c r="F172" s="812"/>
      <x:c r="G172" s="812"/>
      <x:c r="H172" s="812"/>
      <x:c r="I172" s="812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 outlineLevel="1">
      <x:c r="A173" s="810" t="str">
        <x:v>Depreciation</x:v>
      </x:c>
      <x:c r="B173" s="1108" t="n">
        <x:f>IFERROR(B16/B$8,0)</x:f>
      </x:c>
      <x:c r="C173" s="1108" t="n">
        <x:f>IFERROR(C16/C$8,0)</x:f>
      </x:c>
      <x:c r="D173" s="1108" t="n">
        <x:f>IFERROR(D16/D$8,0)</x:f>
      </x:c>
      <x:c r="E173" s="1108" t="n">
        <x:f>IFERROR(E16/E$8,0)</x:f>
      </x:c>
      <x:c r="F173" s="1108" t="n">
        <x:f>IFERROR(F16/F$8,0)</x:f>
      </x:c>
      <x:c r="G173" s="1108" t="n">
        <x:f>IFERROR(G16/G$8,0)</x:f>
      </x:c>
      <x:c r="H173" s="1108" t="n">
        <x:f>IFERROR(H16/H$8,0)</x:f>
      </x:c>
      <x:c r="I173" s="1108" t="n">
        <x:f>IFERROR(I16/I$8,0)</x:f>
      </x:c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 outlineLevel="1">
      <x:c r="A174" s="893" t="str">
        <x:v>EBIT</x:v>
      </x:c>
      <x:c r="B174" s="1109" t="n">
        <x:f>IFERROR(B17/B$8,0)</x:f>
      </x:c>
      <x:c r="C174" s="1109" t="n">
        <x:f>IFERROR(C17/C$8,0)</x:f>
      </x:c>
      <x:c r="D174" s="1109" t="n">
        <x:f>IFERROR(D17/D$8,0)</x:f>
      </x:c>
      <x:c r="E174" s="1109" t="n">
        <x:f>IFERROR(E17/E$8,0)</x:f>
      </x:c>
      <x:c r="F174" s="1109" t="n">
        <x:f>IFERROR(F17/F$8,0)</x:f>
      </x:c>
      <x:c r="G174" s="1109" t="n">
        <x:f>IFERROR(G17/G$8,0)</x:f>
      </x:c>
      <x:c r="H174" s="1109" t="n">
        <x:f>IFERROR(H17/H$8,0)</x:f>
      </x:c>
      <x:c r="I174" s="1109" t="n">
        <x:f>IFERROR(I17/I$8,0)</x:f>
      </x:c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810"/>
      <x:c r="B175" s="812"/>
      <x:c r="C175" s="812"/>
      <x:c r="D175" s="812"/>
      <x:c r="E175" s="812"/>
      <x:c r="F175" s="812"/>
      <x:c r="G175" s="812"/>
      <x:c r="H175" s="812"/>
      <x:c r="I175" s="812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Interest Expense</x:v>
      </x:c>
      <x:c r="B176" s="1108" t="n">
        <x:f>IFERROR(B19/B$8,0)</x:f>
      </x:c>
      <x:c r="C176" s="1108" t="n">
        <x:f>IFERROR(C19/C$8,0)</x:f>
      </x:c>
      <x:c r="D176" s="1108" t="n">
        <x:f>IFERROR(D19/D$8,0)</x:f>
      </x:c>
      <x:c r="E176" s="1108" t="n">
        <x:f>IFERROR(E19/E$8,0)</x:f>
      </x:c>
      <x:c r="F176" s="1108" t="n">
        <x:f>IFERROR(F19/F$8,0)</x:f>
      </x:c>
      <x:c r="G176" s="1108" t="n">
        <x:f>IFERROR(G19/G$8,0)</x:f>
      </x:c>
      <x:c r="H176" s="1108" t="n">
        <x:f>IFERROR(H19/H$8,0)</x:f>
      </x:c>
      <x:c r="I176" s="1108" t="n">
        <x:f>IFERROR(I19/I$8,0)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93" t="str">
        <x:v>EBT</x:v>
      </x:c>
      <x:c r="B177" s="1109" t="n">
        <x:f>IFERROR(B20/B$8,0)</x:f>
      </x:c>
      <x:c r="C177" s="1109" t="n">
        <x:f>IFERROR(C20/C$8,0)</x:f>
      </x:c>
      <x:c r="D177" s="1109" t="n">
        <x:f>IFERROR(D20/D$8,0)</x:f>
      </x:c>
      <x:c r="E177" s="1109" t="n">
        <x:f>IFERROR(E20/E$8,0)</x:f>
      </x:c>
      <x:c r="F177" s="1109" t="n">
        <x:f>IFERROR(F20/F$8,0)</x:f>
      </x:c>
      <x:c r="G177" s="1109" t="n">
        <x:f>IFERROR(G20/G$8,0)</x:f>
      </x:c>
      <x:c r="H177" s="1109" t="n">
        <x:f>IFERROR(H20/H$8,0)</x:f>
      </x:c>
      <x:c r="I177" s="1109" t="n">
        <x:f>IFERROR(I20/I$8,0)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/>
      <x:c r="B178" s="812"/>
      <x:c r="C178" s="812"/>
      <x:c r="D178" s="812"/>
      <x:c r="E178" s="812"/>
      <x:c r="F178" s="812"/>
      <x:c r="G178" s="812"/>
      <x:c r="H178" s="812"/>
      <x:c r="I178" s="812"/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10" t="str">
        <x:v>Current Tax</x:v>
      </x:c>
      <x:c r="B179" s="1108" t="n">
        <x:f>IFERROR(B22/B$8,0)</x:f>
      </x:c>
      <x:c r="C179" s="1108" t="n">
        <x:f>IFERROR(C22/C$8,0)</x:f>
      </x:c>
      <x:c r="D179" s="1108" t="n">
        <x:f>IFERROR(D22/D$8,0)</x:f>
      </x:c>
      <x:c r="E179" s="1108" t="n">
        <x:f>IFERROR(E22/E$8,0)</x:f>
      </x:c>
      <x:c r="F179" s="1108" t="n">
        <x:f>IFERROR(F22/F$8,0)</x:f>
      </x:c>
      <x:c r="G179" s="1108" t="n">
        <x:f>IFERROR(G22/G$8,0)</x:f>
      </x:c>
      <x:c r="H179" s="1108" t="n">
        <x:f>IFERROR(H22/H$8,0)</x:f>
      </x:c>
      <x:c r="I179" s="1108" t="n">
        <x:f>IFERROR(I22/I$8,0)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 t="str">
        <x:v>Deferred Tax</x:v>
      </x:c>
      <x:c r="B180" s="1108" t="n">
        <x:f>IFERROR(B23/B$8,0)</x:f>
      </x:c>
      <x:c r="C180" s="1108" t="n">
        <x:f>IFERROR(C23/C$8,0)</x:f>
      </x:c>
      <x:c r="D180" s="1108" t="n">
        <x:f>IFERROR(D23/D$8,0)</x:f>
      </x:c>
      <x:c r="E180" s="1108" t="n">
        <x:f>IFERROR(E23/E$8,0)</x:f>
      </x:c>
      <x:c r="F180" s="1108" t="n">
        <x:f>IFERROR(F23/F$8,0)</x:f>
      </x:c>
      <x:c r="G180" s="1108" t="n">
        <x:f>IFERROR(G23/G$8,0)</x:f>
      </x:c>
      <x:c r="H180" s="1108" t="n">
        <x:f>IFERROR(H23/H$8,0)</x:f>
      </x:c>
      <x:c r="I180" s="1108" t="n">
        <x:f>IFERROR(I23/I$8,0)</x:f>
      </x:c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93" t="str">
        <x:v>Total Tax</x:v>
      </x:c>
      <x:c r="B181" s="1109" t="n">
        <x:f>IFERROR(B24/B$8,0)</x:f>
      </x:c>
      <x:c r="C181" s="1109" t="n">
        <x:f>IFERROR(C24/C$8,0)</x:f>
      </x:c>
      <x:c r="D181" s="1109" t="n">
        <x:f>IFERROR(D24/D$8,0)</x:f>
      </x:c>
      <x:c r="E181" s="1109" t="n">
        <x:f>IFERROR(E24/E$8,0)</x:f>
      </x:c>
      <x:c r="F181" s="1109" t="n">
        <x:f>IFERROR(F24/F$8,0)</x:f>
      </x:c>
      <x:c r="G181" s="1109" t="n">
        <x:f>IFERROR(G24/G$8,0)</x:f>
      </x:c>
      <x:c r="H181" s="1109" t="n">
        <x:f>IFERROR(H24/H$8,0)</x:f>
      </x:c>
      <x:c r="I181" s="1109" t="n">
        <x:f>IFERROR(I24/I$8,0)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/>
      <x:c r="B182" s="812"/>
      <x:c r="C182" s="812"/>
      <x:c r="D182" s="812"/>
      <x:c r="E182" s="812"/>
      <x:c r="F182" s="812"/>
      <x:c r="G182" s="812"/>
      <x:c r="H182" s="812"/>
      <x:c r="I182" s="812"/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93" t="str">
        <x:v>Net Income</x:v>
      </x:c>
      <x:c r="B183" s="1109" t="n">
        <x:f>IFERROR(B26/B$8,0)</x:f>
      </x:c>
      <x:c r="C183" s="1109" t="n">
        <x:f>IFERROR(C26/C$8,0)</x:f>
      </x:c>
      <x:c r="D183" s="1109" t="n">
        <x:f>IFERROR(D26/D$8,0)</x:f>
      </x:c>
      <x:c r="E183" s="1109" t="n">
        <x:f>IFERROR(E26/E$8,0)</x:f>
      </x:c>
      <x:c r="F183" s="1109" t="n">
        <x:f>IFERROR(F26/F$8,0)</x:f>
      </x:c>
      <x:c r="G183" s="1109" t="n">
        <x:f>IFERROR(G26/G$8,0)</x:f>
      </x:c>
      <x:c r="H183" s="1109" t="n">
        <x:f>IFERROR(H26/H$8,0)</x:f>
      </x:c>
      <x:c r="I183" s="1109" t="n">
        <x:f>IFERROR(I26/I$8,0)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335"/>
      <x:c r="B184" s="335"/>
      <x:c r="C184" s="335"/>
      <x:c r="D184" s="335"/>
      <x:c r="E184" s="335"/>
      <x:c r="F184" s="335"/>
      <x:c r="G184" s="335"/>
      <x:c r="H184" s="335"/>
      <x:c r="I184" s="335"/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>
      <x:c r="A185" s="335"/>
      <x:c r="B185" s="335"/>
      <x:c r="C185" s="335"/>
      <x:c r="D185" s="335"/>
      <x:c r="E185" s="33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>
      <x:c r="A186" s="335"/>
      <x:c r="B186" s="335"/>
      <x:c r="C186" s="335"/>
      <x:c r="D186" s="335"/>
      <x:c r="E186" s="33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33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335"/>
      <x:c r="B188" s="335"/>
      <x:c r="C188" s="335"/>
      <x:c r="D188" s="335"/>
      <x:c r="E188" s="335"/>
      <x:c r="F188" s="335"/>
      <x:c r="G188" s="335"/>
      <x:c r="H188" s="335"/>
      <x:c r="I188" s="335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>
      <x:c r="A189" s="335"/>
      <x:c r="B189" s="335"/>
      <x:c r="C189" s="335"/>
      <x:c r="D189" s="335"/>
      <x:c r="E189" s="33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>
      <x:c r="A190" s="335"/>
      <x:c r="B190" s="335"/>
      <x:c r="C190" s="335"/>
      <x:c r="D190" s="335"/>
      <x:c r="E190" s="335"/>
      <x:c r="F190" s="335"/>
      <x:c r="G190" s="335"/>
      <x:c r="H190" s="335"/>
      <x:c r="I190" s="335"/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>
      <x:c r="A191" s="335"/>
      <x:c r="B191" s="335"/>
      <x:c r="C191" s="335"/>
      <x:c r="D191" s="335"/>
      <x:c r="E191" s="335"/>
      <x:c r="F191" s="335"/>
      <x:c r="G191" s="335"/>
      <x:c r="H191" s="335"/>
      <x:c r="I191" s="335"/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>
      <x:c r="A192" s="335"/>
      <x:c r="B192" s="335"/>
      <x:c r="C192" s="335"/>
      <x:c r="D192" s="335"/>
      <x:c r="E192" s="335"/>
      <x:c r="F192" s="335"/>
      <x:c r="G192" s="335"/>
      <x:c r="H192" s="335"/>
      <x:c r="I192" s="335"/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>
      <x:c r="A193" s="335"/>
      <x:c r="B193" s="335"/>
      <x:c r="C193" s="335"/>
      <x:c r="D193" s="335"/>
      <x:c r="E193" s="335"/>
      <x:c r="F193" s="335"/>
      <x:c r="G193" s="335"/>
      <x:c r="H193" s="335"/>
      <x:c r="I193" s="335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>
      <x:c r="A194" s="335"/>
      <x:c r="B194" s="335"/>
      <x:c r="C194" s="335"/>
      <x:c r="D194" s="335"/>
      <x:c r="E194" s="335"/>
      <x:c r="F194" s="335"/>
      <x:c r="G194" s="335"/>
      <x:c r="H194" s="335"/>
      <x:c r="I194" s="335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>
      <x:c r="A195" s="335"/>
      <x:c r="B195" s="335"/>
      <x:c r="C195" s="335"/>
      <x:c r="D195" s="335"/>
      <x:c r="E195" s="335"/>
      <x:c r="F195" s="335"/>
      <x:c r="G195" s="335"/>
      <x:c r="H195" s="335"/>
      <x:c r="I195" s="335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>
      <x:c r="A196" s="335"/>
      <x:c r="B196" s="335"/>
      <x:c r="C196" s="335"/>
      <x:c r="D196" s="335"/>
      <x:c r="E196" s="335"/>
      <x:c r="F196" s="335"/>
      <x:c r="G196" s="335"/>
      <x:c r="H196" s="335"/>
      <x:c r="I196" s="335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>
      <x:c r="A197" s="335"/>
      <x:c r="B197" s="335"/>
      <x:c r="C197" s="335"/>
      <x:c r="D197" s="335"/>
      <x:c r="E197" s="335"/>
      <x:c r="F197" s="335"/>
      <x:c r="G197" s="335"/>
      <x:c r="H197" s="335"/>
      <x:c r="I197" s="335"/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>
      <x:c r="A198" s="335"/>
      <x:c r="B198" s="335"/>
      <x:c r="C198" s="335"/>
      <x:c r="D198" s="335"/>
      <x:c r="E198" s="335"/>
      <x:c r="F198" s="335"/>
      <x:c r="G198" s="335"/>
      <x:c r="H198" s="335"/>
      <x:c r="I198" s="335"/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>
      <x:c r="A199" s="335"/>
      <x:c r="B199" s="335"/>
      <x:c r="C199" s="335"/>
      <x:c r="D199" s="335"/>
      <x:c r="E199" s="335"/>
      <x:c r="F199" s="335"/>
      <x:c r="G199" s="335"/>
      <x:c r="H199" s="335"/>
      <x:c r="I199" s="335"/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>
      <x:c r="A200" s="335"/>
      <x:c r="B200" s="335"/>
      <x:c r="C200" s="335"/>
      <x:c r="D200" s="335"/>
      <x:c r="E200" s="335"/>
      <x:c r="F200" s="335"/>
      <x:c r="G200" s="335"/>
      <x:c r="H200" s="335"/>
      <x:c r="I200" s="335"/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>
      <x:c r="A201" s="335"/>
      <x:c r="B201" s="335"/>
      <x:c r="C201" s="335"/>
      <x:c r="D201" s="335"/>
      <x:c r="E201" s="335"/>
      <x:c r="F201" s="335"/>
      <x:c r="G201" s="335"/>
      <x:c r="H201" s="335"/>
      <x:c r="I201" s="335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>
      <x:c r="A202" s="335"/>
      <x:c r="B202" s="335"/>
      <x:c r="C202" s="335"/>
      <x:c r="D202" s="335"/>
      <x:c r="E202" s="335"/>
      <x:c r="F202" s="335"/>
      <x:c r="G202" s="335"/>
      <x:c r="H202" s="335"/>
      <x:c r="I202" s="335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>
      <x:c r="A203" s="335"/>
      <x:c r="B203" s="335"/>
      <x:c r="C203" s="335"/>
      <x:c r="D203" s="335"/>
      <x:c r="E203" s="335"/>
      <x:c r="F203" s="335"/>
      <x:c r="G203" s="335"/>
      <x:c r="H203" s="335"/>
      <x:c r="I203" s="335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>
      <x:c r="A204" s="335"/>
      <x:c r="B204" s="335"/>
      <x:c r="C204" s="335"/>
      <x:c r="D204" s="335"/>
      <x:c r="E204" s="335"/>
      <x:c r="F204" s="335"/>
      <x:c r="G204" s="335"/>
      <x:c r="H204" s="335"/>
      <x:c r="I204" s="335"/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>
      <x:c r="A205" s="335"/>
      <x:c r="B205" s="335"/>
      <x:c r="C205" s="335"/>
      <x:c r="D205" s="335"/>
      <x:c r="E205" s="335"/>
      <x:c r="F205" s="335"/>
      <x:c r="G205" s="335"/>
      <x:c r="H205" s="335"/>
      <x:c r="I205" s="335"/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>
      <x:c r="A206" s="335"/>
      <x:c r="B206" s="335"/>
      <x:c r="C206" s="335"/>
      <x:c r="D206" s="335"/>
      <x:c r="E206" s="335"/>
      <x:c r="F206" s="335"/>
      <x:c r="G206" s="335"/>
      <x:c r="H206" s="335"/>
      <x:c r="I206" s="335"/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>
      <x:c r="A207" s="335"/>
      <x:c r="B207" s="335"/>
      <x:c r="C207" s="335"/>
      <x:c r="D207" s="335"/>
      <x:c r="E207" s="335"/>
      <x:c r="F207" s="335"/>
      <x:c r="G207" s="335"/>
      <x:c r="H207" s="335"/>
      <x:c r="I207" s="335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>
      <x:c r="A208" s="335"/>
      <x:c r="B208" s="335"/>
      <x:c r="C208" s="335"/>
      <x:c r="D208" s="335"/>
      <x:c r="E208" s="335"/>
      <x:c r="F208" s="335"/>
      <x:c r="G208" s="335"/>
      <x:c r="H208" s="335"/>
      <x:c r="I208" s="335"/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>
      <x:c r="A209" s="335"/>
      <x:c r="B209" s="335"/>
      <x:c r="C209" s="335"/>
      <x:c r="D209" s="335"/>
      <x:c r="E209" s="335"/>
      <x:c r="F209" s="335"/>
      <x:c r="G209" s="335"/>
      <x:c r="H209" s="335"/>
      <x:c r="I209" s="335"/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>
      <x:c r="A210" s="335"/>
      <x:c r="B210" s="335"/>
      <x:c r="C210" s="335"/>
      <x:c r="D210" s="335"/>
      <x:c r="E210" s="335"/>
      <x:c r="F210" s="335"/>
      <x:c r="G210" s="335"/>
      <x:c r="H210" s="335"/>
      <x:c r="I210" s="335"/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</x:sheetData>
  <x:mergeCells>
    <x:mergeCell ref="A1:I1"/>
    <x:mergeCell ref="A6:I6"/>
    <x:mergeCell ref="A30:I30"/>
    <x:mergeCell ref="A55:I55"/>
    <x:mergeCell ref="A83:I83"/>
    <x:mergeCell ref="A108:I108"/>
    <x:mergeCell ref="A141:I141"/>
    <x:mergeCell ref="A163:I163"/>
  </x:mergeCells>
  <x:conditionalFormatting sqref="E27:I27">
    <x:cfRule type="expression" dxfId="20" priority="1">
      <x:formula>E27="OK"</x:formula>
    </x:cfRule>
    <x:cfRule type="expression" dxfId="21" priority="2">
      <x:formula>E27="CHECK"</x:formula>
    </x:cfRule>
  </x:conditionalFormatting>
  <x:conditionalFormatting sqref="E52:I52">
    <x:cfRule type="expression" dxfId="22" priority="3">
      <x:formula>E52="OK"</x:formula>
    </x:cfRule>
    <x:cfRule type="expression" dxfId="23" priority="4">
      <x:formula>E52="CHECK"</x:formula>
    </x:cfRule>
  </x:conditionalFormatting>
  <x:conditionalFormatting sqref="E76:I76">
    <x:cfRule type="expression" dxfId="24" priority="5">
      <x:formula>E76="OK"</x:formula>
    </x:cfRule>
    <x:cfRule type="expression" dxfId="25" priority="6">
      <x:formula>E76="CHECK"</x:formula>
    </x:cfRule>
  </x:conditionalFormatting>
  <x:conditionalFormatting sqref="E94:I94">
    <x:cfRule type="expression" dxfId="60" priority="9">
      <x:formula>E94="OK"</x:formula>
    </x:cfRule>
    <x:cfRule type="expression" dxfId="61" priority="10">
      <x:formula>E94="CHECK"</x:formula>
    </x:cfRule>
  </x:conditionalFormatting>
  <x:conditionalFormatting sqref="E104:I104">
    <x:cfRule type="expression" dxfId="62" priority="11">
      <x:formula>E104="OK"</x:formula>
    </x:cfRule>
    <x:cfRule type="expression" dxfId="63" priority="12">
      <x:formula>E104="CHECK"</x:formula>
    </x:cfRule>
  </x:conditionalFormatting>
  <x:conditionalFormatting sqref="E130:I130">
    <x:cfRule type="expression" dxfId="64" priority="13">
      <x:formula>E130="OK"</x:formula>
    </x:cfRule>
    <x:cfRule type="expression" dxfId="65" priority="14">
      <x:formula>E130="CHECK"</x:formula>
    </x:cfRule>
  </x:conditionalFormatting>
  <x:conditionalFormatting sqref="E137:I137">
    <x:cfRule type="expression" dxfId="66" priority="15">
      <x:formula>E137="OK"</x:formula>
    </x:cfRule>
    <x:cfRule type="expression" dxfId="67" priority="16">
      <x:formula>E137="CHECK"</x:formula>
    </x:cfRule>
  </x:conditionalFormatting>
  <x:conditionalFormatting sqref="E151:I151">
    <x:cfRule type="expression" dxfId="68" priority="17">
      <x:formula>E151="OK"</x:formula>
    </x:cfRule>
    <x:cfRule type="expression" dxfId="69" priority="18">
      <x:formula>E151="CHECK"</x:formula>
    </x:cfRule>
  </x:conditionalFormatting>
  <x:conditionalFormatting sqref="E159:I159">
    <x:cfRule type="expression" dxfId="70" priority="19">
      <x:formula>E159="OK"</x:formula>
    </x:cfRule>
    <x:cfRule type="expression" dxfId="71" priority="20">
      <x:formula>E159="CHECK"</x:formula>
    </x:cfRule>
  </x:conditionalFormatting>
  <x:conditionalFormatting sqref="E79:I79">
    <x:cfRule type="expression" dxfId="72" priority="21">
      <x:formula>E79="OK"</x:formula>
    </x:cfRule>
    <x:cfRule type="expression" dxfId="73" priority="22">
      <x:formula>E79="CHECK"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358" t="str">
        <x:v>Discounted Cash Flow Valuation</x:v>
      </x:c>
      <x:c r="B1" s="358"/>
      <x:c r="C1" s="358"/>
      <x:c r="D1" s="358"/>
      <x:c r="E1" s="358"/>
      <x:c r="F1" s="358"/>
      <x:c r="G1" s="358"/>
      <x:c r="H1" s="358"/>
    </x:row>
    <x:row r="2">
      <x:c r="A2" s="230"/>
      <x:c r="B2" s="230"/>
      <x:c r="C2" s="230"/>
      <x:c r="D2" s="230"/>
      <x:c r="E2" s="230"/>
      <x:c r="F2" s="230"/>
      <x:c r="G2" s="230"/>
      <x:c r="H2" s="230"/>
    </x:row>
    <x:row r="3">
      <x:c r="A3" s="238"/>
      <x:c r="B3" s="238"/>
      <x:c r="C3" s="238"/>
      <x:c r="D3" s="238"/>
      <x:c r="E3" s="238"/>
      <x:c r="F3" s="238"/>
      <x:c r="G3" s="238"/>
      <x:c r="H3" s="238"/>
    </x:row>
    <x:row r="4">
      <x:c r="A4" s="361" t="str">
        <x:v>Unlevered Free Cash Flow Schedule</x:v>
      </x:c>
      <x:c r="B4" s="361"/>
      <x:c r="C4" s="361"/>
      <x:c r="D4" s="361"/>
      <x:c r="E4" s="361"/>
      <x:c r="F4" s="361"/>
      <x:c r="G4" s="361"/>
      <x:c r="H4" s="361"/>
    </x:row>
    <x:row r="5" outlineLevel="1">
      <x:c r="A5" s="238"/>
      <x:c r="B5" s="238"/>
      <x:c r="C5" s="238"/>
      <x:c r="D5" s="238"/>
      <x:c r="E5" s="238"/>
      <x:c r="F5" s="238"/>
      <x:c r="G5" s="238"/>
      <x:c r="H5" s="238"/>
    </x:row>
    <x:row r="6" outlineLevel="1">
      <x:c r="A6" s="848" t="str">
        <x:v>Metric</x:v>
      </x:c>
      <x:c r="B6" s="848" t="str">
        <x:v>2026E</x:v>
      </x:c>
      <x:c r="C6" s="848" t="str">
        <x:v>2027E</x:v>
      </x:c>
      <x:c r="D6" s="848" t="str">
        <x:v>2028E</x:v>
      </x:c>
      <x:c r="E6" s="848" t="str">
        <x:v>2029E</x:v>
      </x:c>
      <x:c r="F6" s="848" t="str">
        <x:v>2030E</x:v>
      </x:c>
      <x:c r="G6" s="238"/>
      <x:c r="H6" s="238"/>
    </x:row>
    <x:row r="7" outlineLevel="1">
      <x:c r="A7" s="839" t="str">
        <x:v>EBITDA</x:v>
      </x:c>
      <x:c r="B7" s="1081" t="n">
        <x:f>'03_3_Statement_Model'!E15</x:f>
      </x:c>
      <x:c r="C7" s="1081" t="n">
        <x:f>'03_3_Statement_Model'!F15</x:f>
      </x:c>
      <x:c r="D7" s="1081" t="n">
        <x:f>'03_3_Statement_Model'!G15</x:f>
      </x:c>
      <x:c r="E7" s="1081" t="n">
        <x:f>'03_3_Statement_Model'!H15</x:f>
      </x:c>
      <x:c r="F7" s="1081" t="n">
        <x:f>'03_3_Statement_Model'!I15</x:f>
      </x:c>
      <x:c r="G7" s="238"/>
      <x:c r="H7" s="238"/>
    </x:row>
    <x:row r="8" outlineLevel="1">
      <x:c r="A8" s="839" t="str">
        <x:v>Current Taxes</x:v>
      </x:c>
      <x:c r="B8" s="1081" t="n">
        <x:f>-MAX(0,'03_3_Statement_Model'!E15+'02_Operating_Model'!E167)*'01_Inputs_Historicals'!C52</x:f>
      </x:c>
      <x:c r="C8" s="1081" t="n">
        <x:f>-MAX(0,'03_3_Statement_Model'!F15+'02_Operating_Model'!F167)*'01_Inputs_Historicals'!D52</x:f>
      </x:c>
      <x:c r="D8" s="1081" t="n">
        <x:f>-MAX(0,'03_3_Statement_Model'!G15+'02_Operating_Model'!G167)*'01_Inputs_Historicals'!E52</x:f>
      </x:c>
      <x:c r="E8" s="1081" t="n">
        <x:f>-MAX(0,'03_3_Statement_Model'!H15+'02_Operating_Model'!H167)*'01_Inputs_Historicals'!F52</x:f>
      </x:c>
      <x:c r="F8" s="1081" t="n">
        <x:f>-MAX(0,'03_3_Statement_Model'!I15+'02_Operating_Model'!I167)*'01_Inputs_Historicals'!G52</x:f>
      </x:c>
      <x:c r="G8" s="238"/>
      <x:c r="H8" s="238"/>
    </x:row>
    <x:row r="9" outlineLevel="1">
      <x:c r="A9" s="839" t="str">
        <x:v>Capital Expenditure</x:v>
      </x:c>
      <x:c r="B9" s="1081" t="n">
        <x:f>-'02_Operating_Model'!E152</x:f>
      </x:c>
      <x:c r="C9" s="1081" t="n">
        <x:f>-'02_Operating_Model'!F152</x:f>
      </x:c>
      <x:c r="D9" s="1081" t="n">
        <x:f>-'02_Operating_Model'!G152</x:f>
      </x:c>
      <x:c r="E9" s="1081" t="n">
        <x:f>-'02_Operating_Model'!H152</x:f>
      </x:c>
      <x:c r="F9" s="1081" t="n">
        <x:f>-'02_Operating_Model'!I152</x:f>
      </x:c>
      <x:c r="G9" s="238"/>
      <x:c r="H9" s="238"/>
    </x:row>
    <x:row r="10" outlineLevel="1">
      <x:c r="A10" s="839" t="str">
        <x:v>Cash from Working Capital</x:v>
      </x:c>
      <x:c r="B10" s="1081" t="n">
        <x:f>'02_Operating_Model'!E105</x:f>
      </x:c>
      <x:c r="C10" s="1081" t="n">
        <x:f>'02_Operating_Model'!F105</x:f>
      </x:c>
      <x:c r="D10" s="1081" t="n">
        <x:f>'02_Operating_Model'!G105</x:f>
      </x:c>
      <x:c r="E10" s="1081" t="n">
        <x:f>'02_Operating_Model'!H105</x:f>
      </x:c>
      <x:c r="F10" s="1081" t="n">
        <x:f>'02_Operating_Model'!I105</x:f>
      </x:c>
      <x:c r="G10" s="238"/>
      <x:c r="H10" s="238"/>
    </x:row>
    <x:row r="11" outlineLevel="1">
      <x:c r="A11" s="886" t="str">
        <x:v>Unlevered Free Cash Flow</x:v>
      </x:c>
      <x:c r="B11" s="1051" t="n">
        <x:f>SUM(B7:B10)</x:f>
      </x:c>
      <x:c r="C11" s="1051" t="n">
        <x:f>SUM(C7:C10)</x:f>
      </x:c>
      <x:c r="D11" s="1051" t="n">
        <x:f>SUM(D7:D10)</x:f>
      </x:c>
      <x:c r="E11" s="1051" t="n">
        <x:f>SUM(E7:E10)</x:f>
      </x:c>
      <x:c r="F11" s="1051" t="n">
        <x:f>SUM(F7:F10)</x:f>
      </x:c>
      <x:c r="G11" s="935"/>
      <x:c r="H11" s="935"/>
    </x:row>
    <x:row r="12" outlineLevel="1">
      <x:c r="A12" s="839" t="str">
        <x:v>UFCF Check</x:v>
      </x:c>
      <x:c r="B12" s="839" t="str">
        <x:f>IF(ABS(B11-SUM(B7:B10))&lt;0.01,"OK","CHECK")</x:f>
      </x:c>
      <x:c r="C12" s="839" t="str">
        <x:f>IF(ABS(C11-SUM(C7:C10))&lt;0.01,"OK","CHECK")</x:f>
      </x:c>
      <x:c r="D12" s="839" t="str">
        <x:f>IF(ABS(D11-SUM(D7:D10))&lt;0.01,"OK","CHECK")</x:f>
      </x:c>
      <x:c r="E12" s="839" t="str">
        <x:f>IF(ABS(E11-SUM(E7:E10))&lt;0.01,"OK","CHECK")</x:f>
      </x:c>
      <x:c r="F12" s="839" t="str">
        <x:f>IF(ABS(F11-SUM(F7:F10))&lt;0.01,"OK","CHECK")</x:f>
      </x:c>
      <x:c r="G12" s="238"/>
      <x:c r="H12" s="238"/>
    </x:row>
    <x:row r="13" outlineLevel="1">
      <x:c r="A13" s="238"/>
      <x:c r="B13" s="238"/>
      <x:c r="C13" s="238"/>
      <x:c r="D13" s="238"/>
      <x:c r="E13" s="238"/>
      <x:c r="F13" s="238"/>
      <x:c r="G13" s="238"/>
      <x:c r="H13" s="238"/>
    </x:row>
    <x:row r="14">
      <x:c r="A14" s="361" t="str">
        <x:v>Weighted Average Cost of Capital</x:v>
      </x:c>
      <x:c r="B14" s="361"/>
      <x:c r="C14" s="361"/>
      <x:c r="D14" s="361"/>
      <x:c r="E14" s="361"/>
      <x:c r="F14" s="361"/>
      <x:c r="G14" s="361"/>
      <x:c r="H14" s="361"/>
    </x:row>
    <x:row r="15" outlineLevel="1">
      <x:c r="A15" s="906" t="str">
        <x:v>Component</x:v>
      </x:c>
      <x:c r="B15" s="907" t="str">
        <x:v>Cost</x:v>
      </x:c>
      <x:c r="C15" s="907" t="str">
        <x:v>Weight</x:v>
      </x:c>
      <x:c r="D15" s="908" t="str">
        <x:v>Weighted Cost</x:v>
      </x:c>
      <x:c r="E15" s="238"/>
      <x:c r="F15" s="392" t="str">
        <x:v>WACC INPUTS</x:v>
      </x:c>
      <x:c r="G15" s="393" t="str">
        <x:v>Value</x:v>
      </x:c>
      <x:c r="H15" s="394" t="str">
        <x:v>Units</x:v>
      </x:c>
    </x:row>
    <x:row r="16" outlineLevel="1">
      <x:c r="A16" s="909" t="str">
        <x:v>Cost of Equity</x:v>
      </x:c>
      <x:c r="B16" s="1040" t="n">
        <x:f>'01_Inputs_Historicals'!C59+'01_Inputs_Historicals'!C60*'01_Inputs_Historicals'!C61</x:f>
      </x:c>
      <x:c r="C16" s="1040" t="n">
        <x:f>'01_Inputs_Historicals'!C64</x:f>
      </x:c>
      <x:c r="D16" s="1110" t="n">
        <x:f>B16*C16</x:f>
      </x:c>
      <x:c r="E16" s="238"/>
      <x:c r="F16" s="295" t="str">
        <x:v>Risk-Free Rate</x:v>
      </x:c>
      <x:c r="G16" s="1111" t="n">
        <x:f>'01_Inputs_Historicals'!C59</x:f>
      </x:c>
      <x:c r="H16" s="313" t="str">
        <x:v>%</x:v>
      </x:c>
    </x:row>
    <x:row r="17" outlineLevel="1">
      <x:c r="A17" s="909" t="str">
        <x:v>After-Tax Cost of Debt</x:v>
      </x:c>
      <x:c r="B17" s="1040" t="n">
        <x:f>'01_Inputs_Historicals'!C62*(1-'01_Inputs_Historicals'!C52)</x:f>
      </x:c>
      <x:c r="C17" s="1040" t="n">
        <x:f>'01_Inputs_Historicals'!C63</x:f>
      </x:c>
      <x:c r="D17" s="1110" t="n">
        <x:f>B17*C17</x:f>
      </x:c>
      <x:c r="E17" s="238"/>
      <x:c r="F17" s="295" t="str">
        <x:v>Equity Risk Premium</x:v>
      </x:c>
      <x:c r="G17" s="1111" t="n">
        <x:f>'01_Inputs_Historicals'!C60</x:f>
      </x:c>
      <x:c r="H17" s="313" t="str">
        <x:v>%</x:v>
      </x:c>
    </x:row>
    <x:row r="18" outlineLevel="1">
      <x:c r="A18" s="936" t="str">
        <x:v>WACC</x:v>
      </x:c>
      <x:c r="B18" s="1112" t="n">
        <x:f>SUM(D16:D17)</x:f>
      </x:c>
      <x:c r="C18" s="886"/>
      <x:c r="D18" s="938"/>
      <x:c r="E18" s="935"/>
      <x:c r="F18" s="939" t="str">
        <x:v>Beta</x:v>
      </x:c>
      <x:c r="G18" s="1113" t="n">
        <x:f>'01_Inputs_Historicals'!C61</x:f>
      </x:c>
      <x:c r="H18" s="941" t="str">
        <x:v>x</x:v>
      </x:c>
    </x:row>
    <x:row r="19" outlineLevel="1">
      <x:c r="A19" s="909" t="str">
        <x:v>Terminal Growth Rate</x:v>
      </x:c>
      <x:c r="B19" s="1040" t="n">
        <x:f>'01_Inputs_Historicals'!C65+IF('00_Dashboard'!$B$8="Bull",'01_Inputs_Historicals'!$D$75,IF('00_Dashboard'!$B$8="Bear",'01_Inputs_Historicals'!$B$75,0))</x:f>
      </x:c>
      <x:c r="C19" s="839"/>
      <x:c r="D19" s="914"/>
      <x:c r="E19" s="238"/>
      <x:c r="F19" s="295" t="str">
        <x:v>Pre-Tax Cost of Debt</x:v>
      </x:c>
      <x:c r="G19" s="1111" t="n">
        <x:f>'01_Inputs_Historicals'!C62</x:f>
      </x:c>
      <x:c r="H19" s="313" t="str">
        <x:v>%</x:v>
      </x:c>
    </x:row>
    <x:row r="20" outlineLevel="1">
      <x:c r="A20" s="238"/>
      <x:c r="B20" s="238"/>
      <x:c r="C20" s="238"/>
      <x:c r="D20" s="238"/>
      <x:c r="E20" s="238"/>
      <x:c r="F20" s="295" t="str">
        <x:v>Tax Rate</x:v>
      </x:c>
      <x:c r="G20" s="1111" t="n">
        <x:f>'01_Inputs_Historicals'!C52</x:f>
      </x:c>
      <x:c r="H20" s="313" t="str">
        <x:v>%</x:v>
      </x:c>
    </x:row>
    <x:row r="21" outlineLevel="1">
      <x:c r="A21" s="238"/>
      <x:c r="B21" s="238"/>
      <x:c r="C21" s="238"/>
      <x:c r="D21" s="238"/>
      <x:c r="E21" s="238"/>
      <x:c r="F21" s="295" t="str">
        <x:v>Debt Weight</x:v>
      </x:c>
      <x:c r="G21" s="1111" t="n">
        <x:f>'01_Inputs_Historicals'!C63</x:f>
      </x:c>
      <x:c r="H21" s="313" t="str">
        <x:v>%</x:v>
      </x:c>
    </x:row>
    <x:row r="22">
      <x:c r="A22" s="361" t="str">
        <x:v>Discounted Cash Flow Schedule</x:v>
      </x:c>
      <x:c r="B22" s="361"/>
      <x:c r="C22" s="361"/>
      <x:c r="D22" s="361"/>
      <x:c r="E22" s="361"/>
      <x:c r="F22" s="386" t="str">
        <x:v>Equity Weight</x:v>
      </x:c>
      <x:c r="G22" s="1114" t="n">
        <x:f>'01_Inputs_Historicals'!C64</x:f>
      </x:c>
      <x:c r="H22" s="388" t="str">
        <x:v>%</x:v>
      </x:c>
    </x:row>
    <x:row r="23" outlineLevel="1">
      <x:c r="A23" s="848" t="str">
        <x:v>Metric</x:v>
      </x:c>
      <x:c r="B23" s="848" t="str">
        <x:v>2026E</x:v>
      </x:c>
      <x:c r="C23" s="848" t="str">
        <x:v>2027E</x:v>
      </x:c>
      <x:c r="D23" s="848" t="str">
        <x:v>2028E</x:v>
      </x:c>
      <x:c r="E23" s="848" t="str">
        <x:v>2029E</x:v>
      </x:c>
      <x:c r="F23" s="848" t="str">
        <x:v>2030E</x:v>
      </x:c>
      <x:c r="G23" s="839"/>
      <x:c r="H23" s="839"/>
    </x:row>
    <x:row r="24" outlineLevel="1">
      <x:c r="A24" s="839" t="str">
        <x:v>Discount Factor</x:v>
      </x:c>
      <x:c r="B24" s="1047" t="n">
        <x:f>1/(1+$B$18)^1</x:f>
      </x:c>
      <x:c r="C24" s="1047" t="n">
        <x:f>1/(1+$B$18)^2</x:f>
      </x:c>
      <x:c r="D24" s="1047" t="n">
        <x:f>1/(1+$B$18)^3</x:f>
      </x:c>
      <x:c r="E24" s="1047" t="n">
        <x:f>1/(1+$B$18)^4</x:f>
      </x:c>
      <x:c r="F24" s="1047" t="n">
        <x:f>1/(1+$B$18)^5</x:f>
      </x:c>
      <x:c r="G24" s="839"/>
      <x:c r="H24" s="839"/>
    </x:row>
    <x:row r="25" outlineLevel="1">
      <x:c r="A25" s="839" t="str">
        <x:v>PV of UFCF</x:v>
      </x:c>
      <x:c r="B25" s="1054" t="n">
        <x:f>B11*B24</x:f>
      </x:c>
      <x:c r="C25" s="1054" t="n">
        <x:f>C11*C24</x:f>
      </x:c>
      <x:c r="D25" s="1054" t="n">
        <x:f>D11*D24</x:f>
      </x:c>
      <x:c r="E25" s="1054" t="n">
        <x:f>E11*E24</x:f>
      </x:c>
      <x:c r="F25" s="1054" t="n">
        <x:f>F11*F24</x:f>
      </x:c>
      <x:c r="G25" s="839"/>
      <x:c r="H25" s="839"/>
    </x:row>
    <x:row r="26" outlineLevel="1">
      <x:c r="A26" s="839"/>
      <x:c r="B26" s="844"/>
      <x:c r="C26" s="839"/>
      <x:c r="D26" s="839"/>
      <x:c r="E26" s="839"/>
      <x:c r="F26" s="839"/>
      <x:c r="G26" s="839"/>
      <x:c r="H26" s="839"/>
    </x:row>
    <x:row r="27" outlineLevel="1">
      <x:c r="A27" s="915" t="str">
        <x:v>ASSUMPTIONS</x:v>
      </x:c>
      <x:c r="B27" s="916"/>
      <x:c r="C27" s="917"/>
      <x:c r="D27" s="915" t="str">
        <x:v>ENTERPRISE VALUE</x:v>
      </x:c>
      <x:c r="E27" s="918"/>
      <x:c r="F27" s="917"/>
      <x:c r="G27" s="915" t="str">
        <x:v>EQUITY VALUE / SHARE</x:v>
      </x:c>
      <x:c r="H27" s="918"/>
    </x:row>
    <x:row r="28" outlineLevel="1">
      <x:c r="A28" s="909" t="str">
        <x:v>Terminal Growth Rate</x:v>
      </x:c>
      <x:c r="B28" s="1115" t="n">
        <x:f>B19</x:f>
      </x:c>
      <x:c r="C28" s="839"/>
      <x:c r="D28" s="909" t="str">
        <x:v>PV of Discrete</x:v>
      </x:c>
      <x:c r="E28" s="1116" t="n">
        <x:f>SUM(B25:F25)</x:f>
      </x:c>
      <x:c r="F28" s="839"/>
      <x:c r="G28" s="909" t="str">
        <x:v>Equity Value</x:v>
      </x:c>
      <x:c r="H28" s="1116" t="n">
        <x:f>E30-H34</x:f>
      </x:c>
    </x:row>
    <x:row r="29" outlineLevel="1">
      <x:c r="A29" s="909" t="str">
        <x:v>WACC</x:v>
      </x:c>
      <x:c r="B29" s="1115" t="n">
        <x:f>B18</x:f>
      </x:c>
      <x:c r="C29" s="839"/>
      <x:c r="D29" s="909" t="str">
        <x:v>PV of Terminal</x:v>
      </x:c>
      <x:c r="E29" s="1116" t="n">
        <x:f>(F11*(1+$B$28)/($B$29-$B$28))*F24</x:f>
      </x:c>
      <x:c r="F29" s="839"/>
      <x:c r="G29" s="909" t="str">
        <x:v>Shares Outstanding</x:v>
      </x:c>
      <x:c r="H29" s="1117" t="n">
        <x:f>'01_Inputs_Historicals'!C67</x:f>
      </x:c>
    </x:row>
    <x:row r="30" outlineLevel="1">
      <x:c r="A30" s="939" t="str">
        <x:v>Exit EBITDA Multiple</x:v>
      </x:c>
      <x:c r="B30" s="1118" t="n">
        <x:f>'01_Inputs_Historicals'!C66</x:f>
      </x:c>
      <x:c r="C30" s="935"/>
      <x:c r="D30" s="939" t="str">
        <x:v>Enterprise Value</x:v>
      </x:c>
      <x:c r="E30" s="1119" t="n">
        <x:f>E28+E29</x:f>
      </x:c>
      <x:c r="F30" s="935"/>
      <x:c r="G30" s="939" t="str">
        <x:v>Implied Share Price</x:v>
      </x:c>
      <x:c r="H30" s="1120" t="n">
        <x:f>H28/H29</x:f>
      </x:c>
    </x:row>
    <x:row r="31" outlineLevel="1">
      <x:c r="A31" s="839"/>
      <x:c r="B31" s="860"/>
      <x:c r="C31" s="839"/>
      <x:c r="D31" s="839"/>
      <x:c r="E31" s="839"/>
      <x:c r="F31" s="839"/>
      <x:c r="G31" s="839"/>
      <x:c r="H31" s="839"/>
    </x:row>
    <x:row r="32" outlineLevel="1">
      <x:c r="A32" s="839"/>
      <x:c r="B32" s="860"/>
      <x:c r="C32" s="839"/>
      <x:c r="D32" s="839"/>
      <x:c r="E32" s="839"/>
      <x:c r="F32" s="839"/>
      <x:c r="G32" s="839"/>
      <x:c r="H32" s="839"/>
    </x:row>
    <x:row r="33" outlineLevel="1">
      <x:c r="A33" s="839"/>
      <x:c r="B33" s="860"/>
      <x:c r="C33" s="839"/>
      <x:c r="D33" s="915" t="str">
        <x:v>EQUITY VALUE BRIDGE</x:v>
      </x:c>
      <x:c r="E33" s="918"/>
      <x:c r="F33" s="839"/>
      <x:c r="G33" s="915" t="str">
        <x:v>PREMIUM / (DISCOUNT)</x:v>
      </x:c>
      <x:c r="H33" s="918"/>
    </x:row>
    <x:row r="34" outlineLevel="1">
      <x:c r="A34" s="839"/>
      <x:c r="B34" s="923"/>
      <x:c r="C34" s="839"/>
      <x:c r="D34" s="909" t="str">
        <x:v>Net Debt</x:v>
      </x:c>
      <x:c r="E34" s="1117" t="n">
        <x:f>'03_3_Statement_Model'!D65-'03_3_Statement_Model'!D57</x:f>
      </x:c>
      <x:c r="F34" s="839"/>
      <x:c r="G34" s="909" t="str">
        <x:v>Net Debt</x:v>
      </x:c>
      <x:c r="H34" s="1116" t="n">
        <x:f>E34</x:f>
      </x:c>
    </x:row>
    <x:row r="35" outlineLevel="1">
      <x:c r="A35" s="935"/>
      <x:c r="B35" s="945"/>
      <x:c r="C35" s="935"/>
      <x:c r="D35" s="939" t="str">
        <x:v>Equity Value</x:v>
      </x:c>
      <x:c r="E35" s="1119" t="n">
        <x:f>E30-E34</x:f>
      </x:c>
      <x:c r="F35" s="935"/>
      <x:c r="G35" s="939" t="str">
        <x:v>Current Price</x:v>
      </x:c>
      <x:c r="H35" s="1121" t="n">
        <x:f>'00_Dashboard'!B10</x:f>
      </x:c>
    </x:row>
    <x:row r="36" outlineLevel="1">
      <x:c r="A36" s="839"/>
      <x:c r="B36" s="844"/>
      <x:c r="C36" s="839"/>
      <x:c r="D36" s="909" t="str">
        <x:v>PV Terminal %</x:v>
      </x:c>
      <x:c r="E36" s="1110" t="n">
        <x:f>E29/E30</x:f>
      </x:c>
      <x:c r="F36" s="839"/>
      <x:c r="G36" s="909" t="str">
        <x:v>Premium / (Discount)</x:v>
      </x:c>
      <x:c r="H36" s="1110" t="n">
        <x:f>H30/H35-1</x:f>
      </x:c>
    </x:row>
    <x:row r="37" outlineLevel="1">
      <x:c r="A37" s="839"/>
      <x:c r="B37" s="839"/>
      <x:c r="C37" s="839"/>
      <x:c r="D37" s="839"/>
      <x:c r="E37" s="839"/>
      <x:c r="F37" s="839"/>
      <x:c r="G37" s="839"/>
      <x:c r="H37" s="839"/>
    </x:row>
    <x:row r="38">
      <x:c r="A38" s="839"/>
      <x:c r="B38" s="839"/>
      <x:c r="C38" s="839"/>
      <x:c r="D38" s="839"/>
      <x:c r="E38" s="839"/>
      <x:c r="F38" s="839"/>
      <x:c r="G38" s="839"/>
      <x:c r="H38" s="839"/>
    </x:row>
    <x:row r="39">
      <x:c r="A39" s="915" t="str">
        <x:v>DCF CHECKS</x:v>
      </x:c>
      <x:c r="B39" s="849"/>
      <x:c r="C39" s="849"/>
      <x:c r="D39" s="918"/>
      <x:c r="E39" s="917"/>
      <x:c r="F39" s="917"/>
      <x:c r="G39" s="917"/>
      <x:c r="H39" s="917"/>
    </x:row>
    <x:row r="40" outlineLevel="1">
      <x:c r="A40" s="909" t="str">
        <x:v>WACC &gt; Terminal Growth</x:v>
      </x:c>
      <x:c r="B40" s="839" t="str">
        <x:f>IF(B29&gt;B28,"OK","CHECK")</x:f>
      </x:c>
      <x:c r="C40" s="839"/>
      <x:c r="D40" s="914"/>
      <x:c r="E40" s="839"/>
      <x:c r="F40" s="839"/>
      <x:c r="G40" s="839"/>
      <x:c r="H40" s="839"/>
    </x:row>
    <x:row r="41" outlineLevel="1">
      <x:c r="A41" s="909" t="str">
        <x:v>Enterprise Value Bridge</x:v>
      </x:c>
      <x:c r="B41" s="839" t="str">
        <x:f>IF(ABS(E30-(E28+E29))&lt;0.01,"OK","CHECK")</x:f>
      </x:c>
      <x:c r="C41" s="839"/>
      <x:c r="D41" s="914"/>
      <x:c r="E41" s="839"/>
      <x:c r="F41" s="839"/>
      <x:c r="G41" s="839"/>
      <x:c r="H41" s="839"/>
    </x:row>
    <x:row r="42" outlineLevel="1">
      <x:c r="A42" s="909" t="str">
        <x:v>Sensitivity Grid Coverage</x:v>
      </x:c>
      <x:c r="B42" s="839" t="str">
        <x:f>IF(AND(B29&gt;=MIN('05_Sensitivity'!A7:A12),B29&lt;=MAX('05_Sensitivity'!A7:A12),B28&gt;=MIN('05_Sensitivity'!B6:G6),B28&lt;=MAX('05_Sensitivity'!B6:G6)),"OK","CHECK")</x:f>
      </x:c>
      <x:c r="C42" s="839"/>
      <x:c r="D42" s="914"/>
      <x:c r="E42" s="839"/>
      <x:c r="F42" s="839"/>
      <x:c r="G42" s="839"/>
      <x:c r="H42" s="839"/>
    </x:row>
    <x:row r="43" outlineLevel="1">
      <x:c r="A43" s="238"/>
      <x:c r="B43" s="238"/>
      <x:c r="C43" s="238"/>
      <x:c r="D43" s="238"/>
      <x:c r="E43" s="238"/>
      <x:c r="F43" s="238"/>
      <x:c r="G43" s="238"/>
      <x:c r="H43" s="238"/>
    </x:row>
    <x:row r="44">
      <x:c r="A44" s="238"/>
      <x:c r="B44" s="238"/>
      <x:c r="C44" s="238"/>
      <x:c r="D44" s="238"/>
      <x:c r="E44" s="238"/>
      <x:c r="F44" s="238"/>
      <x:c r="G44" s="238"/>
      <x:c r="H44" s="238"/>
    </x:row>
    <x:row r="45">
      <x:c r="A45" s="361" t="str">
        <x:v>Terminal Value Cross-Check</x:v>
      </x:c>
      <x:c r="B45" s="361"/>
      <x:c r="C45" s="361"/>
      <x:c r="D45" s="361"/>
      <x:c r="E45" s="361"/>
      <x:c r="F45" s="361"/>
      <x:c r="G45" s="361"/>
      <x:c r="H45" s="361"/>
    </x:row>
    <x:row r="46" outlineLevel="1">
      <x:c r="A46" s="335"/>
      <x:c r="B46" s="335"/>
      <x:c r="C46" s="335"/>
      <x:c r="D46" s="335"/>
      <x:c r="E46" s="335"/>
      <x:c r="F46" s="335"/>
      <x:c r="G46" s="335"/>
      <x:c r="H46" s="335"/>
    </x:row>
    <x:row r="47" outlineLevel="1">
      <x:c r="A47" s="924" t="str">
        <x:v>Method</x:v>
      </x:c>
      <x:c r="B47" s="924" t="str">
        <x:v>Terminal Metric</x:v>
      </x:c>
      <x:c r="C47" s="924" t="str">
        <x:v>Multiple / Growth</x:v>
      </x:c>
      <x:c r="D47" s="924" t="str">
        <x:v>Terminal Value</x:v>
      </x:c>
      <x:c r="E47" s="924" t="str">
        <x:v>PV Terminal</x:v>
      </x:c>
      <x:c r="F47" s="924" t="str">
        <x:v>Enterprise Value</x:v>
      </x:c>
      <x:c r="G47" s="924" t="str">
        <x:v>Equity Value</x:v>
      </x:c>
      <x:c r="H47" s="924" t="str">
        <x:v>Implied Price</x:v>
      </x:c>
    </x:row>
    <x:row r="48" outlineLevel="1">
      <x:c r="A48" s="903" t="str">
        <x:v>Perpetuity Growth</x:v>
      </x:c>
      <x:c r="B48" s="1106" t="n">
        <x:f>F11*(1+$B$28)</x:f>
      </x:c>
      <x:c r="C48" s="1122" t="n">
        <x:f>$B$28</x:f>
      </x:c>
      <x:c r="D48" s="1106" t="n">
        <x:f>B48/($B$29-$B$28)</x:f>
      </x:c>
      <x:c r="E48" s="1106" t="n">
        <x:f>D48*F24</x:f>
      </x:c>
      <x:c r="F48" s="1106" t="n">
        <x:f>SUM(B25:F25)+E48</x:f>
      </x:c>
      <x:c r="G48" s="1106" t="n">
        <x:f>F48-E34</x:f>
      </x:c>
      <x:c r="H48" s="1123" t="n">
        <x:f>G48/H29</x:f>
      </x:c>
    </x:row>
    <x:row r="49" outlineLevel="1">
      <x:c r="A49" s="903" t="str">
        <x:v>Exit EBITDA Multiple</x:v>
      </x:c>
      <x:c r="B49" s="1106" t="n">
        <x:f>F7</x:f>
      </x:c>
      <x:c r="C49" s="1124" t="n">
        <x:f>'01_Inputs_Historicals'!C66</x:f>
      </x:c>
      <x:c r="D49" s="1106" t="n">
        <x:f>B49*C49</x:f>
      </x:c>
      <x:c r="E49" s="1106" t="n">
        <x:f>D49*F24</x:f>
      </x:c>
      <x:c r="F49" s="1106" t="n">
        <x:f>SUM(B25:F25)+E49</x:f>
      </x:c>
      <x:c r="G49" s="1106" t="n">
        <x:f>F49-E34</x:f>
      </x:c>
      <x:c r="H49" s="1123" t="n">
        <x:f>G49/H29</x:f>
      </x:c>
    </x:row>
    <x:row r="50" outlineLevel="1">
      <x:c r="A50" s="810"/>
      <x:c r="B50" s="810"/>
      <x:c r="C50" s="810"/>
      <x:c r="D50" s="878"/>
      <x:c r="E50" s="878"/>
      <x:c r="F50" s="878"/>
      <x:c r="G50" s="878"/>
      <x:c r="H50" s="810"/>
    </x:row>
    <x:row r="51" outlineLevel="1">
      <x:c r="A51" s="810" t="str">
        <x:v>Difference vs Perpetuity</x:v>
      </x:c>
      <x:c r="B51" s="810"/>
      <x:c r="C51" s="810"/>
      <x:c r="D51" s="1089" t="n">
        <x:f>D49-D48</x:f>
      </x:c>
      <x:c r="E51" s="1089" t="n">
        <x:f>E49-E48</x:f>
      </x:c>
      <x:c r="F51" s="1089" t="n">
        <x:f>F49-F48</x:f>
      </x:c>
      <x:c r="G51" s="1089" t="n">
        <x:f>G49-G48</x:f>
      </x:c>
      <x:c r="H51" s="1085" t="n">
        <x:f>H49-H48</x:f>
      </x:c>
    </x:row>
    <x:row r="52" outlineLevel="1">
      <x:c r="A52" s="810"/>
      <x:c r="B52" s="810"/>
      <x:c r="C52" s="810"/>
      <x:c r="D52" s="810"/>
      <x:c r="E52" s="810"/>
      <x:c r="F52" s="810"/>
      <x:c r="G52" s="810"/>
      <x:c r="H52" s="810"/>
    </x:row>
    <x:row r="53" outlineLevel="1">
      <x:c r="A53" s="810" t="str">
        <x:v>Selected Method</x:v>
      </x:c>
      <x:c r="B53" s="810" t="str">
        <x:f>'00_Dashboard'!B9</x:f>
      </x:c>
      <x:c r="C53" s="810"/>
      <x:c r="D53" s="810"/>
      <x:c r="E53" s="810"/>
      <x:c r="F53" s="810"/>
      <x:c r="G53" s="810"/>
      <x:c r="H53" s="810"/>
    </x:row>
    <x:row r="54" outlineLevel="1">
      <x:c r="A54" s="810" t="str">
        <x:v>Selected Implied Price</x:v>
      </x:c>
      <x:c r="B54" s="1125" t="n">
        <x:f>IF(B53="Exit Multiple",H49,H48)</x:f>
      </x:c>
      <x:c r="C54" s="810"/>
      <x:c r="D54" s="810"/>
      <x:c r="E54" s="810"/>
      <x:c r="F54" s="810"/>
      <x:c r="G54" s="810"/>
      <x:c r="H54" s="810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</x:row>
    <x:row r="57">
      <x:c r="A57" s="335"/>
      <x:c r="B57" s="335"/>
      <x:c r="C57" s="335"/>
      <x:c r="D57" s="335"/>
      <x:c r="E57" s="335"/>
      <x:c r="F57" s="335"/>
      <x:c r="G57" s="335"/>
      <x:c r="H57" s="335"/>
    </x:row>
    <x:row r="58">
      <x:c r="A58" s="361" t="str">
        <x:v>DCF Integrity Checks</x:v>
      </x:c>
      <x:c r="B58" s="361"/>
      <x:c r="C58" s="361"/>
      <x:c r="D58" s="361"/>
      <x:c r="E58" s="335"/>
      <x:c r="F58" s="335"/>
      <x:c r="G58" s="335"/>
      <x:c r="H58" s="335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</x:row>
    <x:row r="60" outlineLevel="1">
      <x:c r="A60" s="925" t="str">
        <x:v>Check</x:v>
      </x:c>
      <x:c r="B60" s="926" t="str">
        <x:v>Status</x:v>
      </x:c>
      <x:c r="C60" s="927"/>
      <x:c r="D60" s="927"/>
      <x:c r="E60" s="335"/>
      <x:c r="F60" s="335"/>
      <x:c r="G60" s="335"/>
      <x:c r="H60" s="335"/>
    </x:row>
    <x:row r="61" outlineLevel="1">
      <x:c r="A61" s="928" t="str">
        <x:v>UFCF Rows</x:v>
      </x:c>
      <x:c r="B61" s="929" t="str">
        <x:f>IF(COUNTIF(B12:F12,"CHECK")=0,"OK","CHECK")</x:f>
      </x:c>
      <x:c r="C61" s="810"/>
      <x:c r="D61" s="810"/>
      <x:c r="E61" s="335"/>
      <x:c r="F61" s="335"/>
      <x:c r="G61" s="335"/>
      <x:c r="H61" s="335"/>
    </x:row>
    <x:row r="62" outlineLevel="1">
      <x:c r="A62" s="928" t="str">
        <x:v>WACC &gt; Terminal Growth</x:v>
      </x:c>
      <x:c r="B62" s="929" t="str">
        <x:f>IF(B29&gt;B28,"OK","CHECK")</x:f>
      </x:c>
      <x:c r="C62" s="810"/>
      <x:c r="D62" s="810"/>
      <x:c r="E62" s="335"/>
      <x:c r="F62" s="335"/>
      <x:c r="G62" s="335"/>
      <x:c r="H62" s="335"/>
    </x:row>
    <x:row r="63" outlineLevel="1">
      <x:c r="A63" s="928" t="str">
        <x:v>Enterprise Value Bridge</x:v>
      </x:c>
      <x:c r="B63" s="929" t="str">
        <x:f>IF(ABS(E30-(E28+E29))&lt;0.01,"OK","CHECK")</x:f>
      </x:c>
      <x:c r="C63" s="810"/>
      <x:c r="D63" s="810"/>
      <x:c r="E63" s="335"/>
      <x:c r="F63" s="335"/>
      <x:c r="G63" s="335"/>
      <x:c r="H63" s="335"/>
    </x:row>
    <x:row r="64" outlineLevel="1">
      <x:c r="A64" s="928" t="str">
        <x:v>Equity Value Bridge</x:v>
      </x:c>
      <x:c r="B64" s="929" t="str">
        <x:f>IF(ABS(H30-((E30-E34)/H29))&lt;0.01,"OK","CHECK")</x:f>
      </x:c>
      <x:c r="C64" s="810"/>
      <x:c r="D64" s="810"/>
      <x:c r="E64" s="335"/>
      <x:c r="F64" s="335"/>
      <x:c r="G64" s="335"/>
      <x:c r="H64" s="335"/>
    </x:row>
    <x:row r="65" outlineLevel="1">
      <x:c r="A65" s="928" t="str">
        <x:v>Terminal Methods Positive</x:v>
      </x:c>
      <x:c r="B65" s="929" t="str">
        <x:f>IF(AND(H48&gt;0,H49&gt;0),"OK","CHECK")</x:f>
      </x:c>
      <x:c r="C65" s="810"/>
      <x:c r="D65" s="810"/>
      <x:c r="E65" s="335"/>
      <x:c r="F65" s="335"/>
      <x:c r="G65" s="335"/>
      <x:c r="H65" s="335"/>
    </x:row>
    <x:row r="66" outlineLevel="1">
      <x:c r="A66" s="335"/>
      <x:c r="B66" s="335"/>
      <x:c r="C66" s="335"/>
      <x:c r="D66" s="335"/>
      <x:c r="E66" s="335"/>
      <x:c r="F66" s="335"/>
      <x:c r="G66" s="335"/>
      <x:c r="H66" s="335"/>
    </x:row>
    <x:row r="67">
      <x:c r="A67" s="335"/>
      <x:c r="B67" s="335"/>
      <x:c r="C67" s="335"/>
      <x:c r="D67" s="335"/>
      <x:c r="E67" s="335"/>
      <x:c r="F67" s="335"/>
      <x:c r="G67" s="335"/>
      <x:c r="H67" s="335"/>
    </x:row>
    <x:row r="68">
      <x:c r="A68" s="489" t="str">
        <x:v>DCF Profit Metrics &amp; Discounting Detail</x:v>
      </x:c>
      <x:c r="B68" s="489"/>
      <x:c r="C68" s="489"/>
      <x:c r="D68" s="489"/>
      <x:c r="E68" s="489"/>
      <x:c r="F68" s="489"/>
      <x:c r="G68" s="489"/>
      <x:c r="H68" s="489"/>
    </x:row>
    <x:row r="69" outlineLevel="1">
      <x:c r="A69" s="335"/>
      <x:c r="B69" s="335"/>
      <x:c r="C69" s="335"/>
      <x:c r="D69" s="335"/>
      <x:c r="E69" s="335"/>
      <x:c r="F69" s="335"/>
      <x:c r="G69" s="335"/>
      <x:c r="H69" s="335"/>
    </x:row>
    <x:row r="70" outlineLevel="1">
      <x:c r="A70" s="924" t="str">
        <x:v>Metric</x:v>
      </x:c>
      <x:c r="B70" s="924" t="str">
        <x:v>2026E</x:v>
      </x:c>
      <x:c r="C70" s="924" t="str">
        <x:v>2027E</x:v>
      </x:c>
      <x:c r="D70" s="924" t="str">
        <x:v>2028E</x:v>
      </x:c>
      <x:c r="E70" s="924" t="str">
        <x:v>2029E</x:v>
      </x:c>
      <x:c r="F70" s="924" t="str">
        <x:v>2030E</x:v>
      </x:c>
      <x:c r="G70" s="335"/>
      <x:c r="H70" s="335"/>
    </x:row>
    <x:row r="71" outlineLevel="1">
      <x:c r="A71" s="810" t="str">
        <x:v>EBITDA Growth</x:v>
      </x:c>
      <x:c r="B71" s="812"/>
      <x:c r="C71" s="1096" t="n">
        <x:f>'03_3_Statement_Model'!F15/'03_3_Statement_Model'!E15-1</x:f>
      </x:c>
      <x:c r="D71" s="1096" t="n">
        <x:f>'03_3_Statement_Model'!G15/'03_3_Statement_Model'!F15-1</x:f>
      </x:c>
      <x:c r="E71" s="1096" t="n">
        <x:f>'03_3_Statement_Model'!H15/'03_3_Statement_Model'!G15-1</x:f>
      </x:c>
      <x:c r="F71" s="1096" t="n">
        <x:f>'03_3_Statement_Model'!I15/'03_3_Statement_Model'!H15-1</x:f>
      </x:c>
      <x:c r="G71" s="335"/>
      <x:c r="H71" s="335"/>
    </x:row>
    <x:row r="72" outlineLevel="1">
      <x:c r="A72" s="810" t="str">
        <x:v>EBITDA</x:v>
      </x:c>
      <x:c r="B72" s="1094" t="n">
        <x:f>'03_3_Statement_Model'!E15</x:f>
      </x:c>
      <x:c r="C72" s="1094" t="n">
        <x:f>'03_3_Statement_Model'!F15</x:f>
      </x:c>
      <x:c r="D72" s="1094" t="n">
        <x:f>'03_3_Statement_Model'!G15</x:f>
      </x:c>
      <x:c r="E72" s="1094" t="n">
        <x:f>'03_3_Statement_Model'!H15</x:f>
      </x:c>
      <x:c r="F72" s="1094" t="n">
        <x:f>'03_3_Statement_Model'!I15</x:f>
      </x:c>
      <x:c r="G72" s="335"/>
      <x:c r="H72" s="335"/>
    </x:row>
    <x:row r="73" outlineLevel="1">
      <x:c r="A73" s="810" t="str">
        <x:v>Tax Depreciation</x:v>
      </x:c>
      <x:c r="B73" s="1094" t="n">
        <x:f>-'02_Operating_Model'!E167</x:f>
      </x:c>
      <x:c r="C73" s="1094" t="n">
        <x:f>-'02_Operating_Model'!F167</x:f>
      </x:c>
      <x:c r="D73" s="1094" t="n">
        <x:f>-'02_Operating_Model'!G167</x:f>
      </x:c>
      <x:c r="E73" s="1094" t="n">
        <x:f>-'02_Operating_Model'!H167</x:f>
      </x:c>
      <x:c r="F73" s="1094" t="n">
        <x:f>-'02_Operating_Model'!I167</x:f>
      </x:c>
      <x:c r="G73" s="335"/>
      <x:c r="H73" s="335"/>
    </x:row>
    <x:row r="74" outlineLevel="1">
      <x:c r="A74" s="810" t="str">
        <x:v>Operating Profit for Tax</x:v>
      </x:c>
      <x:c r="B74" s="1089" t="n">
        <x:f>B72-B73</x:f>
      </x:c>
      <x:c r="C74" s="1089" t="n">
        <x:f>C72-C73</x:f>
      </x:c>
      <x:c r="D74" s="1089" t="n">
        <x:f>D72-D73</x:f>
      </x:c>
      <x:c r="E74" s="1089" t="n">
        <x:f>E72-E73</x:f>
      </x:c>
      <x:c r="F74" s="1089" t="n">
        <x:f>F72-F73</x:f>
      </x:c>
      <x:c r="G74" s="335"/>
      <x:c r="H74" s="335"/>
    </x:row>
    <x:row r="75" outlineLevel="1">
      <x:c r="A75" s="810" t="str">
        <x:v>Tax Rate</x:v>
      </x:c>
      <x:c r="B75" s="1096" t="n">
        <x:f>'01_Inputs_Historicals'!C52</x:f>
      </x:c>
      <x:c r="C75" s="1096" t="n">
        <x:f>'01_Inputs_Historicals'!D52</x:f>
      </x:c>
      <x:c r="D75" s="1096" t="n">
        <x:f>'01_Inputs_Historicals'!E52</x:f>
      </x:c>
      <x:c r="E75" s="1096" t="n">
        <x:f>'01_Inputs_Historicals'!F52</x:f>
      </x:c>
      <x:c r="F75" s="1096" t="n">
        <x:f>'01_Inputs_Historicals'!G52</x:f>
      </x:c>
      <x:c r="G75" s="335"/>
      <x:c r="H75" s="335"/>
    </x:row>
    <x:row r="76" outlineLevel="1">
      <x:c r="A76" s="810" t="str">
        <x:v>Current Tax</x:v>
      </x:c>
      <x:c r="B76" s="1094" t="n">
        <x:f>-MAX(0,'03_3_Statement_Model'!E15+'02_Operating_Model'!E167)*'01_Inputs_Historicals'!C52</x:f>
      </x:c>
      <x:c r="C76" s="1094" t="n">
        <x:f>-MAX(0,'03_3_Statement_Model'!F15+'02_Operating_Model'!F167)*'01_Inputs_Historicals'!D52</x:f>
      </x:c>
      <x:c r="D76" s="1094" t="n">
        <x:f>-MAX(0,'03_3_Statement_Model'!G15+'02_Operating_Model'!G167)*'01_Inputs_Historicals'!E52</x:f>
      </x:c>
      <x:c r="E76" s="1094" t="n">
        <x:f>-MAX(0,'03_3_Statement_Model'!H15+'02_Operating_Model'!H167)*'01_Inputs_Historicals'!F52</x:f>
      </x:c>
      <x:c r="F76" s="1094" t="n">
        <x:f>-MAX(0,'03_3_Statement_Model'!I15+'02_Operating_Model'!I167)*'01_Inputs_Historicals'!G52</x:f>
      </x:c>
      <x:c r="G76" s="335"/>
      <x:c r="H76" s="335"/>
    </x:row>
    <x:row r="77" outlineLevel="1">
      <x:c r="A77" s="810"/>
      <x:c r="B77" s="878"/>
      <x:c r="C77" s="878"/>
      <x:c r="D77" s="878"/>
      <x:c r="E77" s="878"/>
      <x:c r="F77" s="878"/>
      <x:c r="G77" s="335"/>
      <x:c r="H77" s="335"/>
    </x:row>
    <x:row r="78" outlineLevel="1">
      <x:c r="A78" s="810" t="str">
        <x:v>UFCF Before Working Capital</x:v>
      </x:c>
      <x:c r="B78" s="1089" t="n">
        <x:f>B72+B76+B9</x:f>
      </x:c>
      <x:c r="C78" s="1089" t="n">
        <x:f>C72+C76+C9</x:f>
      </x:c>
      <x:c r="D78" s="1089" t="n">
        <x:f>D72+D76+D9</x:f>
      </x:c>
      <x:c r="E78" s="1089" t="n">
        <x:f>E72+E76+E9</x:f>
      </x:c>
      <x:c r="F78" s="1089" t="n">
        <x:f>F72+F76+F9</x:f>
      </x:c>
      <x:c r="G78" s="335"/>
      <x:c r="H78" s="335"/>
    </x:row>
    <x:row r="79" outlineLevel="1">
      <x:c r="A79" s="810" t="str">
        <x:v>Cash from Working Capital</x:v>
      </x:c>
      <x:c r="B79" s="1089" t="n">
        <x:f>B10</x:f>
      </x:c>
      <x:c r="C79" s="1089" t="n">
        <x:f>C10</x:f>
      </x:c>
      <x:c r="D79" s="1089" t="n">
        <x:f>D10</x:f>
      </x:c>
      <x:c r="E79" s="1089" t="n">
        <x:f>E10</x:f>
      </x:c>
      <x:c r="F79" s="1089" t="n">
        <x:f>F10</x:f>
      </x:c>
      <x:c r="G79" s="335"/>
      <x:c r="H79" s="335"/>
    </x:row>
    <x:row r="80" outlineLevel="1">
      <x:c r="A80" s="893" t="str">
        <x:v>Unlevered Free Cash Flow</x:v>
      </x:c>
      <x:c r="B80" s="1092" t="n">
        <x:f>B78+B79</x:f>
      </x:c>
      <x:c r="C80" s="1092" t="n">
        <x:f>C78+C79</x:f>
      </x:c>
      <x:c r="D80" s="1092" t="n">
        <x:f>D78+D79</x:f>
      </x:c>
      <x:c r="E80" s="1092" t="n">
        <x:f>E78+E79</x:f>
      </x:c>
      <x:c r="F80" s="1092" t="n">
        <x:f>F78+F79</x:f>
      </x:c>
      <x:c r="G80" s="903"/>
      <x:c r="H80" s="903"/>
    </x:row>
    <x:row r="81" outlineLevel="1">
      <x:c r="A81" s="930"/>
      <x:c r="B81" s="930"/>
      <x:c r="C81" s="930"/>
      <x:c r="D81" s="930"/>
      <x:c r="E81" s="930"/>
      <x:c r="F81" s="930"/>
    </x:row>
    <x:row r="82" outlineLevel="1">
      <x:c r="A82" s="930" t="str">
        <x:v>Discount Period</x:v>
      </x:c>
      <x:c r="B82" s="1126" t="n">
        <x:v>1</x:v>
      </x:c>
      <x:c r="C82" s="1126" t="n">
        <x:v>2</x:v>
      </x:c>
      <x:c r="D82" s="1126" t="n">
        <x:v>3</x:v>
      </x:c>
      <x:c r="E82" s="1126" t="n">
        <x:v>4</x:v>
      </x:c>
      <x:c r="F82" s="1126" t="n">
        <x:v>5</x:v>
      </x:c>
    </x:row>
    <x:row r="83" outlineLevel="1">
      <x:c r="A83" s="930" t="str">
        <x:v>Discount Factor</x:v>
      </x:c>
      <x:c r="B83" s="1127" t="n">
        <x:f>1/(1+$B$29)^1</x:f>
      </x:c>
      <x:c r="C83" s="1127" t="n">
        <x:f>1/(1+$B$29)^2</x:f>
      </x:c>
      <x:c r="D83" s="1127" t="n">
        <x:f>1/(1+$B$29)^3</x:f>
      </x:c>
      <x:c r="E83" s="1127" t="n">
        <x:f>1/(1+$B$29)^4</x:f>
      </x:c>
      <x:c r="F83" s="1127" t="n">
        <x:f>1/(1+$B$29)^5</x:f>
      </x:c>
    </x:row>
    <x:row r="84" outlineLevel="1">
      <x:c r="A84" s="949" t="str">
        <x:v>PV of UFCF</x:v>
      </x:c>
      <x:c r="B84" s="1128" t="n">
        <x:f>B80*B83</x:f>
      </x:c>
      <x:c r="C84" s="1128" t="n">
        <x:f>C80*C83</x:f>
      </x:c>
      <x:c r="D84" s="1128" t="n">
        <x:f>D80*D83</x:f>
      </x:c>
      <x:c r="E84" s="1128" t="n">
        <x:f>E80*E83</x:f>
      </x:c>
      <x:c r="F84" s="1128" t="n">
        <x:f>F80*F83</x:f>
      </x:c>
      <x:c r="G84" s="951"/>
      <x:c r="H84" s="951"/>
    </x:row>
    <x:row r="85" outlineLevel="1">
      <x:c r="A85" s="930"/>
      <x:c r="B85" s="930"/>
      <x:c r="C85" s="930"/>
      <x:c r="D85" s="930"/>
      <x:c r="E85" s="930"/>
      <x:c r="F85" s="930"/>
    </x:row>
    <x:row r="86" outlineLevel="1">
      <x:c r="A86" s="930" t="str">
        <x:v>Detail Checks</x:v>
      </x:c>
      <x:c r="B86" s="930"/>
      <x:c r="C86" s="930"/>
      <x:c r="D86" s="930"/>
      <x:c r="E86" s="930"/>
      <x:c r="F86" s="930"/>
    </x:row>
    <x:row r="87" outlineLevel="1">
      <x:c r="A87" s="930" t="str">
        <x:v>UFCF Detail = Main UFCF</x:v>
      </x:c>
      <x:c r="B87" s="930" t="str">
        <x:f>IF(MAX(ABS(B80-B11),ABS(C80-C11),ABS(D80-D11),ABS(E80-E11),ABS(F80-F11))&lt;0.01,"OK","CHECK")</x:f>
      </x:c>
      <x:c r="C87" s="930"/>
      <x:c r="D87" s="930"/>
      <x:c r="E87" s="930"/>
      <x:c r="F87" s="930"/>
    </x:row>
    <x:row r="88" outlineLevel="1">
      <x:c r="A88" s="930" t="str">
        <x:v>PV Detail = Main PV</x:v>
      </x:c>
      <x:c r="B88" s="930" t="str">
        <x:f>IF(ABS(SUM(B84:F84)-SUM(B25:F25))&lt;0.01,"OK","CHECK")</x:f>
      </x:c>
      <x:c r="C88" s="930"/>
      <x:c r="D88" s="930"/>
      <x:c r="E88" s="930"/>
      <x:c r="F88" s="930"/>
    </x:row>
    <x:row r="89" outlineLevel="1">
      <x:c r="A89" s="930" t="str">
        <x:v>Tax Bridge</x:v>
      </x:c>
      <x:c r="B89" s="930" t="str">
        <x:f>IF(MAX(ABS(B76-B8),ABS(C76-C8),ABS(D76-D8),ABS(E76-E8),ABS(F76-F8))&lt;0.01,"OK","CHECK")</x:f>
      </x:c>
      <x:c r="C89" s="930"/>
      <x:c r="D89" s="930"/>
      <x:c r="E89" s="930"/>
      <x:c r="F89" s="930"/>
    </x:row>
  </x:sheetData>
  <x:mergeCells>
    <x:mergeCell ref="A1:H1"/>
    <x:mergeCell ref="A4:H4"/>
    <x:mergeCell ref="A14:H14"/>
    <x:mergeCell ref="A45:H45"/>
    <x:mergeCell ref="A58:D58"/>
    <x:mergeCell ref="A68:H68"/>
  </x:mergeCells>
  <x:conditionalFormatting sqref="B12:F12">
    <x:cfRule type="expression" dxfId="28" priority="3">
      <x:formula>B12="OK"</x:formula>
    </x:cfRule>
    <x:cfRule type="expression" dxfId="29" priority="4">
      <x:formula>B12="CHECK"</x:formula>
    </x:cfRule>
  </x:conditionalFormatting>
  <x:conditionalFormatting sqref="B61:B65">
    <x:cfRule type="expression" dxfId="30" priority="5">
      <x:formula>B61="OK"</x:formula>
    </x:cfRule>
    <x:cfRule type="expression" dxfId="31" priority="6">
      <x:formula>B61="CHECK"</x:formula>
    </x:cfRule>
  </x:conditionalFormatting>
  <x:conditionalFormatting sqref="B40:B42">
    <x:cfRule type="expression" dxfId="54" priority="7">
      <x:formula>B40="OK"</x:formula>
    </x:cfRule>
    <x:cfRule type="expression" dxfId="55" priority="8">
      <x:formula>B40="CHECK"</x:formula>
    </x:cfRule>
  </x:conditionalFormatting>
  <x:conditionalFormatting sqref="B87:B89">
    <x:cfRule type="expression" dxfId="56" priority="9">
      <x:formula>B87="OK"</x:formula>
    </x:cfRule>
    <x:cfRule type="expression" dxfId="57" priority="10">
      <x:formula>B87="CHECK"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4" customHeight="1">
      <x:c r="A1" s="952" t="str">
        <x:v>Sensitivity Analysis</x:v>
      </x:c>
      <x:c r="B1" s="952"/>
      <x:c r="C1" s="952"/>
      <x:c r="D1" s="952"/>
      <x:c r="E1" s="952"/>
      <x:c r="F1" s="952"/>
      <x:c r="G1" s="952"/>
      <x:c r="H1" s="420"/>
      <x:c r="I1" s="420"/>
      <x:c r="J1" s="420"/>
      <x:c r="K1" s="420"/>
      <x:c r="L1" s="420"/>
      <x:c r="M1" s="420"/>
      <x:c r="N1" s="420"/>
      <x:c r="O1" s="420"/>
    </x:row>
    <x:row r="2">
      <x:c r="A2" s="626"/>
      <x:c r="B2" s="626"/>
      <x:c r="C2" s="626"/>
      <x:c r="D2" s="626"/>
      <x:c r="E2" s="626"/>
      <x:c r="F2" s="626"/>
      <x:c r="G2" s="626"/>
      <x:c r="H2" s="335"/>
      <x:c r="I2" s="335"/>
      <x:c r="J2" s="335"/>
      <x:c r="K2" s="335"/>
      <x:c r="L2" s="335"/>
      <x:c r="M2" s="335"/>
      <x:c r="N2" s="335"/>
      <x:c r="O2" s="335"/>
    </x:row>
    <x:row r="3">
      <x:c r="A3" s="678"/>
      <x:c r="B3" s="678"/>
      <x:c r="C3" s="678"/>
      <x:c r="D3" s="678"/>
      <x:c r="E3" s="678"/>
      <x:c r="F3" s="678"/>
      <x:c r="G3" s="678"/>
      <x:c r="H3" s="335"/>
      <x:c r="I3" s="335"/>
      <x:c r="J3" s="335"/>
      <x:c r="K3" s="335"/>
      <x:c r="L3" s="335"/>
      <x:c r="M3" s="335"/>
      <x:c r="N3" s="335"/>
      <x:c r="O3" s="335"/>
    </x:row>
    <x:row r="4">
      <x:c r="A4" s="953" t="str">
        <x:v>Implied Share Price - WACC vs Terminal Growth</x:v>
      </x:c>
      <x:c r="B4" s="953"/>
      <x:c r="C4" s="953"/>
      <x:c r="D4" s="953"/>
      <x:c r="E4" s="953"/>
      <x:c r="F4" s="953"/>
      <x:c r="G4" s="953"/>
      <x:c r="H4" s="335"/>
      <x:c r="I4" s="335"/>
      <x:c r="J4" s="335"/>
      <x:c r="K4" s="335"/>
      <x:c r="L4" s="335"/>
      <x:c r="M4" s="335"/>
      <x:c r="N4" s="335"/>
      <x:c r="O4" s="335"/>
    </x:row>
    <x:row r="5" outlineLevel="1">
      <x:c r="A5" s="678"/>
      <x:c r="B5" s="678"/>
      <x:c r="C5" s="678"/>
      <x:c r="D5" s="678"/>
      <x:c r="E5" s="678"/>
      <x:c r="F5" s="678"/>
      <x:c r="G5" s="678"/>
      <x:c r="H5" s="335"/>
      <x:c r="I5" s="335"/>
      <x:c r="J5" s="335"/>
      <x:c r="K5" s="335"/>
      <x:c r="L5" s="335"/>
      <x:c r="M5" s="335"/>
      <x:c r="N5" s="335"/>
      <x:c r="O5" s="335"/>
    </x:row>
    <x:row r="6" outlineLevel="1">
      <x:c r="A6" s="972" t="str">
        <x:v>WACC \ TGR</x:v>
      </x:c>
      <x:c r="B6" s="1129" t="n">
        <x:v>0.015</x:v>
      </x:c>
      <x:c r="C6" s="1129" t="n">
        <x:v>0.02</x:v>
      </x:c>
      <x:c r="D6" s="1129" t="n">
        <x:v>0.025</x:v>
      </x:c>
      <x:c r="E6" s="1129" t="n">
        <x:v>0.03</x:v>
      </x:c>
      <x:c r="F6" s="1129" t="n">
        <x:v>0.035</x:v>
      </x:c>
      <x:c r="G6" s="1130" t="n">
        <x:v>0.04</x:v>
      </x:c>
      <x:c r="H6" s="335"/>
      <x:c r="I6" s="335"/>
      <x:c r="J6" s="335"/>
      <x:c r="K6" s="335"/>
      <x:c r="L6" s="335"/>
      <x:c r="M6" s="335"/>
      <x:c r="N6" s="335"/>
      <x:c r="O6" s="335"/>
    </x:row>
    <x:row r="7" outlineLevel="1">
      <x:c r="A7" s="1131" t="n">
        <x:v>0.075</x:v>
      </x:c>
      <x:c r="B7" s="1132" t="n">
        <x:f>(SUM('04_DCF_Valuation'!$B$25:$F$25)+('04_DCF_Valuation'!$F$11*(1+B$6)/($A7-B$6))*'04_DCF_Valuation'!$F$24-'04_DCF_Valuation'!$E$34)/'01_Inputs_Historicals'!$C$67</x:f>
      </x:c>
      <x:c r="C7" s="1132" t="n">
        <x:f>(SUM('04_DCF_Valuation'!$B$25:$F$25)+('04_DCF_Valuation'!$F$11*(1+C$6)/($A7-C$6))*'04_DCF_Valuation'!$F$24-'04_DCF_Valuation'!$E$34)/'01_Inputs_Historicals'!$C$67</x:f>
      </x:c>
      <x:c r="D7" s="1132" t="n">
        <x:f>(SUM('04_DCF_Valuation'!$B$25:$F$25)+('04_DCF_Valuation'!$F$11*(1+D$6)/($A7-D$6))*'04_DCF_Valuation'!$F$24-'04_DCF_Valuation'!$E$34)/'01_Inputs_Historicals'!$C$67</x:f>
      </x:c>
      <x:c r="E7" s="1132" t="n">
        <x:f>(SUM('04_DCF_Valuation'!$B$25:$F$25)+('04_DCF_Valuation'!$F$11*(1+E$6)/($A7-E$6))*'04_DCF_Valuation'!$F$24-'04_DCF_Valuation'!$E$34)/'01_Inputs_Historicals'!$C$67</x:f>
      </x:c>
      <x:c r="F7" s="1132" t="n">
        <x:f>(SUM('04_DCF_Valuation'!$B$25:$F$25)+('04_DCF_Valuation'!$F$11*(1+F$6)/($A7-F$6))*'04_DCF_Valuation'!$F$24-'04_DCF_Valuation'!$E$34)/'01_Inputs_Historicals'!$C$67</x:f>
      </x:c>
      <x:c r="G7" s="1133" t="n">
        <x:f>(SUM('04_DCF_Valuation'!$B$25:$F$25)+('04_DCF_Valuation'!$F$11*(1+G$6)/($A7-G$6))*'04_DCF_Valuation'!$F$24-'04_DCF_Valuation'!$E$34)/'01_Inputs_Historicals'!$C$67</x:f>
      </x:c>
      <x:c r="H7" s="335"/>
      <x:c r="I7" s="335"/>
      <x:c r="J7" s="335"/>
      <x:c r="K7" s="335"/>
      <x:c r="L7" s="335"/>
      <x:c r="M7" s="335"/>
      <x:c r="N7" s="335"/>
      <x:c r="O7" s="335"/>
    </x:row>
    <x:row r="8" outlineLevel="1">
      <x:c r="A8" s="1131" t="n">
        <x:v>0.08</x:v>
      </x:c>
      <x:c r="B8" s="1132" t="n">
        <x:f>(SUM('04_DCF_Valuation'!$B$25:$F$25)+('04_DCF_Valuation'!$F$11*(1+B$6)/($A8-B$6))*'04_DCF_Valuation'!$F$24-'04_DCF_Valuation'!$E$34)/'01_Inputs_Historicals'!$C$67</x:f>
      </x:c>
      <x:c r="C8" s="1132" t="n">
        <x:f>(SUM('04_DCF_Valuation'!$B$25:$F$25)+('04_DCF_Valuation'!$F$11*(1+C$6)/($A8-C$6))*'04_DCF_Valuation'!$F$24-'04_DCF_Valuation'!$E$34)/'01_Inputs_Historicals'!$C$67</x:f>
      </x:c>
      <x:c r="D8" s="1132" t="n">
        <x:f>(SUM('04_DCF_Valuation'!$B$25:$F$25)+('04_DCF_Valuation'!$F$11*(1+D$6)/($A8-D$6))*'04_DCF_Valuation'!$F$24-'04_DCF_Valuation'!$E$34)/'01_Inputs_Historicals'!$C$67</x:f>
      </x:c>
      <x:c r="E8" s="1132" t="n">
        <x:f>(SUM('04_DCF_Valuation'!$B$25:$F$25)+('04_DCF_Valuation'!$F$11*(1+E$6)/($A8-E$6))*'04_DCF_Valuation'!$F$24-'04_DCF_Valuation'!$E$34)/'01_Inputs_Historicals'!$C$67</x:f>
      </x:c>
      <x:c r="F8" s="1132" t="n">
        <x:f>(SUM('04_DCF_Valuation'!$B$25:$F$25)+('04_DCF_Valuation'!$F$11*(1+F$6)/($A8-F$6))*'04_DCF_Valuation'!$F$24-'04_DCF_Valuation'!$E$34)/'01_Inputs_Historicals'!$C$67</x:f>
      </x:c>
      <x:c r="G8" s="1133" t="n">
        <x:f>(SUM('04_DCF_Valuation'!$B$25:$F$25)+('04_DCF_Valuation'!$F$11*(1+G$6)/($A8-G$6))*'04_DCF_Valuation'!$F$24-'04_DCF_Valuation'!$E$34)/'01_Inputs_Historicals'!$C$67</x:f>
      </x:c>
      <x:c r="H8" s="335"/>
      <x:c r="I8" s="335"/>
      <x:c r="J8" s="335"/>
      <x:c r="K8" s="335"/>
      <x:c r="L8" s="335"/>
      <x:c r="M8" s="335"/>
      <x:c r="N8" s="335"/>
      <x:c r="O8" s="335"/>
    </x:row>
    <x:row r="9" outlineLevel="1">
      <x:c r="A9" s="1131" t="n">
        <x:v>0.085</x:v>
      </x:c>
      <x:c r="B9" s="1132" t="n">
        <x:f>(SUM('04_DCF_Valuation'!$B$25:$F$25)+('04_DCF_Valuation'!$F$11*(1+B$6)/($A9-B$6))*'04_DCF_Valuation'!$F$24-'04_DCF_Valuation'!$E$34)/'01_Inputs_Historicals'!$C$67</x:f>
      </x:c>
      <x:c r="C9" s="1132" t="n">
        <x:f>(SUM('04_DCF_Valuation'!$B$25:$F$25)+('04_DCF_Valuation'!$F$11*(1+C$6)/($A9-C$6))*'04_DCF_Valuation'!$F$24-'04_DCF_Valuation'!$E$34)/'01_Inputs_Historicals'!$C$67</x:f>
      </x:c>
      <x:c r="D9" s="1134" t="n">
        <x:f>(SUM('04_DCF_Valuation'!$B$25:$F$25)+('04_DCF_Valuation'!$F$11*(1+D$6)/($A9-D$6))*'04_DCF_Valuation'!$F$24-'04_DCF_Valuation'!$E$34)/'01_Inputs_Historicals'!$C$67</x:f>
      </x:c>
      <x:c r="E9" s="1132" t="n">
        <x:f>(SUM('04_DCF_Valuation'!$B$25:$F$25)+('04_DCF_Valuation'!$F$11*(1+E$6)/($A9-E$6))*'04_DCF_Valuation'!$F$24-'04_DCF_Valuation'!$E$34)/'01_Inputs_Historicals'!$C$67</x:f>
      </x:c>
      <x:c r="F9" s="1132" t="n">
        <x:f>(SUM('04_DCF_Valuation'!$B$25:$F$25)+('04_DCF_Valuation'!$F$11*(1+F$6)/($A9-F$6))*'04_DCF_Valuation'!$F$24-'04_DCF_Valuation'!$E$34)/'01_Inputs_Historicals'!$C$67</x:f>
      </x:c>
      <x:c r="G9" s="1133" t="n">
        <x:f>(SUM('04_DCF_Valuation'!$B$25:$F$25)+('04_DCF_Valuation'!$F$11*(1+G$6)/($A9-G$6))*'04_DCF_Valuation'!$F$24-'04_DCF_Valuation'!$E$34)/'01_Inputs_Historicals'!$C$67</x:f>
      </x:c>
      <x:c r="H9" s="335"/>
      <x:c r="I9" s="335"/>
      <x:c r="J9" s="335"/>
      <x:c r="K9" s="335"/>
      <x:c r="L9" s="335"/>
      <x:c r="M9" s="335"/>
      <x:c r="N9" s="335"/>
      <x:c r="O9" s="335"/>
    </x:row>
    <x:row r="10" outlineLevel="1">
      <x:c r="A10" s="1131" t="n">
        <x:v>0.09</x:v>
      </x:c>
      <x:c r="B10" s="1132" t="n">
        <x:f>(SUM('04_DCF_Valuation'!$B$25:$F$25)+('04_DCF_Valuation'!$F$11*(1+B$6)/($A10-B$6))*'04_DCF_Valuation'!$F$24-'04_DCF_Valuation'!$E$34)/'01_Inputs_Historicals'!$C$67</x:f>
      </x:c>
      <x:c r="C10" s="1132" t="n">
        <x:f>(SUM('04_DCF_Valuation'!$B$25:$F$25)+('04_DCF_Valuation'!$F$11*(1+C$6)/($A10-C$6))*'04_DCF_Valuation'!$F$24-'04_DCF_Valuation'!$E$34)/'01_Inputs_Historicals'!$C$67</x:f>
      </x:c>
      <x:c r="D10" s="1132" t="n">
        <x:f>(SUM('04_DCF_Valuation'!$B$25:$F$25)+('04_DCF_Valuation'!$F$11*(1+D$6)/($A10-D$6))*'04_DCF_Valuation'!$F$24-'04_DCF_Valuation'!$E$34)/'01_Inputs_Historicals'!$C$67</x:f>
      </x:c>
      <x:c r="E10" s="1132" t="n">
        <x:f>(SUM('04_DCF_Valuation'!$B$25:$F$25)+('04_DCF_Valuation'!$F$11*(1+E$6)/($A10-E$6))*'04_DCF_Valuation'!$F$24-'04_DCF_Valuation'!$E$34)/'01_Inputs_Historicals'!$C$67</x:f>
      </x:c>
      <x:c r="F10" s="1132" t="n">
        <x:f>(SUM('04_DCF_Valuation'!$B$25:$F$25)+('04_DCF_Valuation'!$F$11*(1+F$6)/($A10-F$6))*'04_DCF_Valuation'!$F$24-'04_DCF_Valuation'!$E$34)/'01_Inputs_Historicals'!$C$67</x:f>
      </x:c>
      <x:c r="G10" s="1133" t="n">
        <x:f>(SUM('04_DCF_Valuation'!$B$25:$F$25)+('04_DCF_Valuation'!$F$11*(1+G$6)/($A10-G$6))*'04_DCF_Valuation'!$F$24-'04_DCF_Valuation'!$E$34)/'01_Inputs_Historicals'!$C$67</x:f>
      </x:c>
      <x:c r="H10" s="335"/>
      <x:c r="I10" s="335"/>
      <x:c r="J10" s="335"/>
      <x:c r="K10" s="335"/>
      <x:c r="L10" s="335"/>
      <x:c r="M10" s="335"/>
      <x:c r="N10" s="335"/>
      <x:c r="O10" s="335"/>
    </x:row>
    <x:row r="11" outlineLevel="1">
      <x:c r="A11" s="1131" t="n">
        <x:v>0.095</x:v>
      </x:c>
      <x:c r="B11" s="1132" t="n">
        <x:f>(SUM('04_DCF_Valuation'!$B$25:$F$25)+('04_DCF_Valuation'!$F$11*(1+B$6)/($A11-B$6))*'04_DCF_Valuation'!$F$24-'04_DCF_Valuation'!$E$34)/'01_Inputs_Historicals'!$C$67</x:f>
      </x:c>
      <x:c r="C11" s="1132" t="n">
        <x:f>(SUM('04_DCF_Valuation'!$B$25:$F$25)+('04_DCF_Valuation'!$F$11*(1+C$6)/($A11-C$6))*'04_DCF_Valuation'!$F$24-'04_DCF_Valuation'!$E$34)/'01_Inputs_Historicals'!$C$67</x:f>
      </x:c>
      <x:c r="D11" s="1132" t="n">
        <x:f>(SUM('04_DCF_Valuation'!$B$25:$F$25)+('04_DCF_Valuation'!$F$11*(1+D$6)/($A11-D$6))*'04_DCF_Valuation'!$F$24-'04_DCF_Valuation'!$E$34)/'01_Inputs_Historicals'!$C$67</x:f>
      </x:c>
      <x:c r="E11" s="1132" t="n">
        <x:f>(SUM('04_DCF_Valuation'!$B$25:$F$25)+('04_DCF_Valuation'!$F$11*(1+E$6)/($A11-E$6))*'04_DCF_Valuation'!$F$24-'04_DCF_Valuation'!$E$34)/'01_Inputs_Historicals'!$C$67</x:f>
      </x:c>
      <x:c r="F11" s="1132" t="n">
        <x:f>(SUM('04_DCF_Valuation'!$B$25:$F$25)+('04_DCF_Valuation'!$F$11*(1+F$6)/($A11-F$6))*'04_DCF_Valuation'!$F$24-'04_DCF_Valuation'!$E$34)/'01_Inputs_Historicals'!$C$67</x:f>
      </x:c>
      <x:c r="G11" s="1133" t="n">
        <x:f>(SUM('04_DCF_Valuation'!$B$25:$F$25)+('04_DCF_Valuation'!$F$11*(1+G$6)/($A11-G$6))*'04_DCF_Valuation'!$F$24-'04_DCF_Valuation'!$E$34)/'01_Inputs_Historicals'!$C$67</x:f>
      </x:c>
      <x:c r="H11" s="335"/>
      <x:c r="I11" s="335"/>
      <x:c r="J11" s="335"/>
      <x:c r="K11" s="335"/>
      <x:c r="L11" s="335"/>
      <x:c r="M11" s="335"/>
      <x:c r="N11" s="335"/>
      <x:c r="O11" s="335"/>
    </x:row>
    <x:row r="12" outlineLevel="1">
      <x:c r="A12" s="1135" t="n">
        <x:v>0.1</x:v>
      </x:c>
      <x:c r="B12" s="1136" t="n">
        <x:f>(SUM('04_DCF_Valuation'!$B$25:$F$25)+('04_DCF_Valuation'!$F$11*(1+B$6)/($A12-B$6))*'04_DCF_Valuation'!$F$24-'04_DCF_Valuation'!$E$34)/'01_Inputs_Historicals'!$C$67</x:f>
      </x:c>
      <x:c r="C12" s="1136" t="n">
        <x:f>(SUM('04_DCF_Valuation'!$B$25:$F$25)+('04_DCF_Valuation'!$F$11*(1+C$6)/($A12-C$6))*'04_DCF_Valuation'!$F$24-'04_DCF_Valuation'!$E$34)/'01_Inputs_Historicals'!$C$67</x:f>
      </x:c>
      <x:c r="D12" s="1136" t="n">
        <x:f>(SUM('04_DCF_Valuation'!$B$25:$F$25)+('04_DCF_Valuation'!$F$11*(1+D$6)/($A12-D$6))*'04_DCF_Valuation'!$F$24-'04_DCF_Valuation'!$E$34)/'01_Inputs_Historicals'!$C$67</x:f>
      </x:c>
      <x:c r="E12" s="1136" t="n">
        <x:f>(SUM('04_DCF_Valuation'!$B$25:$F$25)+('04_DCF_Valuation'!$F$11*(1+E$6)/($A12-E$6))*'04_DCF_Valuation'!$F$24-'04_DCF_Valuation'!$E$34)/'01_Inputs_Historicals'!$C$67</x:f>
      </x:c>
      <x:c r="F12" s="1136" t="n">
        <x:f>(SUM('04_DCF_Valuation'!$B$25:$F$25)+('04_DCF_Valuation'!$F$11*(1+F$6)/($A12-F$6))*'04_DCF_Valuation'!$F$24-'04_DCF_Valuation'!$E$34)/'01_Inputs_Historicals'!$C$67</x:f>
      </x:c>
      <x:c r="G12" s="1137" t="n">
        <x:f>(SUM('04_DCF_Valuation'!$B$25:$F$25)+('04_DCF_Valuation'!$F$11*(1+G$6)/($A12-G$6))*'04_DCF_Valuation'!$F$24-'04_DCF_Valuation'!$E$34)/'01_Inputs_Historicals'!$C$67</x:f>
      </x:c>
      <x:c r="H12" s="335"/>
      <x:c r="I12" s="335"/>
      <x:c r="J12" s="335"/>
      <x:c r="K12" s="335"/>
      <x:c r="L12" s="335"/>
      <x:c r="M12" s="335"/>
      <x:c r="N12" s="335"/>
      <x:c r="O12" s="335"/>
    </x:row>
    <x:row r="13" outlineLevel="1">
      <x:c r="A13" s="678"/>
      <x:c r="B13" s="678"/>
      <x:c r="C13" s="678"/>
      <x:c r="D13" s="678"/>
      <x:c r="E13" s="678"/>
      <x:c r="F13" s="678"/>
      <x:c r="G13" s="678"/>
      <x:c r="H13" s="335"/>
      <x:c r="I13" s="335"/>
      <x:c r="J13" s="335"/>
      <x:c r="K13" s="335"/>
      <x:c r="L13" s="335"/>
      <x:c r="M13" s="335"/>
      <x:c r="N13" s="335"/>
      <x:c r="O13" s="335"/>
    </x:row>
    <x:row r="14" outlineLevel="1">
      <x:c r="A14" s="678"/>
      <x:c r="B14" s="678"/>
      <x:c r="C14" s="678"/>
      <x:c r="D14" s="678"/>
      <x:c r="E14" s="678"/>
      <x:c r="F14" s="678"/>
      <x:c r="G14" s="678"/>
      <x:c r="H14" s="335"/>
      <x:c r="I14" s="335"/>
      <x:c r="J14" s="335"/>
      <x:c r="K14" s="335"/>
      <x:c r="L14" s="335"/>
      <x:c r="M14" s="335"/>
      <x:c r="N14" s="335"/>
      <x:c r="O14" s="335"/>
    </x:row>
    <x:row r="15">
      <x:c r="A15" s="678"/>
      <x:c r="B15" s="678"/>
      <x:c r="C15" s="678"/>
      <x:c r="D15" s="678"/>
      <x:c r="E15" s="678"/>
      <x:c r="F15" s="678"/>
      <x:c r="G15" s="678"/>
      <x:c r="H15" s="335"/>
      <x:c r="I15" s="335"/>
      <x:c r="J15" s="335"/>
      <x:c r="K15" s="335"/>
      <x:c r="L15" s="335"/>
      <x:c r="M15" s="335"/>
      <x:c r="N15" s="335"/>
      <x:c r="O15" s="335"/>
    </x:row>
    <x:row r="16">
      <x:c r="A16" s="964" t="str">
        <x:v>Scenario Valuation Summary</x:v>
      </x:c>
      <x:c r="B16" s="964"/>
      <x:c r="C16" s="964"/>
      <x:c r="D16" s="964"/>
      <x:c r="E16" s="964"/>
      <x:c r="F16" s="964"/>
      <x:c r="G16" s="964"/>
      <x:c r="H16" s="335"/>
      <x:c r="I16" s="335"/>
      <x:c r="J16" s="335"/>
      <x:c r="K16" s="335"/>
      <x:c r="L16" s="335"/>
      <x:c r="M16" s="335"/>
      <x:c r="N16" s="335"/>
      <x:c r="O16" s="335"/>
    </x:row>
    <x:row r="17" outlineLevel="1">
      <x:c r="A17" s="678"/>
      <x:c r="B17" s="678"/>
      <x:c r="C17" s="678"/>
      <x:c r="D17" s="678"/>
      <x:c r="E17" s="678"/>
      <x:c r="F17" s="678"/>
      <x:c r="G17" s="678"/>
      <x:c r="H17" s="335"/>
      <x:c r="I17" s="335"/>
      <x:c r="J17" s="335"/>
      <x:c r="K17" s="335"/>
      <x:c r="L17" s="335"/>
      <x:c r="M17" s="335"/>
      <x:c r="N17" s="335"/>
      <x:c r="O17" s="335"/>
    </x:row>
    <x:row r="18" outlineLevel="1">
      <x:c r="A18" s="972" t="str">
        <x:v>Metric</x:v>
      </x:c>
      <x:c r="B18" s="980" t="str">
        <x:v>Bear</x:v>
      </x:c>
      <x:c r="C18" s="980" t="str">
        <x:v>Base</x:v>
      </x:c>
      <x:c r="D18" s="980" t="str">
        <x:v>Bull</x:v>
      </x:c>
      <x:c r="E18" s="981" t="str">
        <x:v>Current</x:v>
      </x:c>
      <x:c r="F18" s="678"/>
      <x:c r="G18" s="678"/>
      <x:c r="H18" s="335"/>
      <x:c r="I18" s="335"/>
      <x:c r="J18" s="335"/>
      <x:c r="K18" s="335"/>
      <x:c r="L18" s="335"/>
      <x:c r="M18" s="335"/>
      <x:c r="N18" s="335"/>
      <x:c r="O18" s="335"/>
    </x:row>
    <x:row r="19" outlineLevel="1">
      <x:c r="A19" s="982" t="str">
        <x:v>2030 Revenue</x:v>
      </x:c>
      <x:c r="B19" s="1138" t="n">
        <x:f>'03_3_Statement_Model'!D8*(1+'01_Inputs_Historicals'!C39+'01_Inputs_Historicals'!$B$72)*(1+'01_Inputs_Historicals'!D39+'01_Inputs_Historicals'!$B$72)*(1+'01_Inputs_Historicals'!E39+'01_Inputs_Historicals'!$B$72)*(1+'01_Inputs_Historicals'!F39+'01_Inputs_Historicals'!$B$72)*(1+'01_Inputs_Historicals'!G39+'01_Inputs_Historicals'!$B$72)</x:f>
      </x:c>
      <x:c r="C19" s="1138" t="n">
        <x:f>'03_3_Statement_Model'!D8*(1+'01_Inputs_Historicals'!C39+'01_Inputs_Historicals'!$C$72)*(1+'01_Inputs_Historicals'!D39+'01_Inputs_Historicals'!$C$72)*(1+'01_Inputs_Historicals'!E39+'01_Inputs_Historicals'!$C$72)*(1+'01_Inputs_Historicals'!F39+'01_Inputs_Historicals'!$C$72)*(1+'01_Inputs_Historicals'!G39+'01_Inputs_Historicals'!$C$72)</x:f>
      </x:c>
      <x:c r="D19" s="1138" t="n">
        <x:f>'03_3_Statement_Model'!D8*(1+'01_Inputs_Historicals'!C39+'01_Inputs_Historicals'!$D$72)*(1+'01_Inputs_Historicals'!D39+'01_Inputs_Historicals'!$D$72)*(1+'01_Inputs_Historicals'!E39+'01_Inputs_Historicals'!$D$72)*(1+'01_Inputs_Historicals'!F39+'01_Inputs_Historicals'!$D$72)*(1+'01_Inputs_Historicals'!G39+'01_Inputs_Historicals'!$D$72)</x:f>
      </x:c>
      <x:c r="E19" s="983"/>
      <x:c r="F19" s="678"/>
      <x:c r="G19" s="678"/>
      <x:c r="H19" s="335"/>
      <x:c r="I19" s="335"/>
      <x:c r="J19" s="335"/>
      <x:c r="K19" s="335"/>
      <x:c r="L19" s="335"/>
      <x:c r="M19" s="335"/>
      <x:c r="N19" s="335"/>
      <x:c r="O19" s="335"/>
    </x:row>
    <x:row r="20" outlineLevel="1">
      <x:c r="A20" s="982" t="str">
        <x:v>2030 EBITDA</x:v>
      </x:c>
      <x:c r="B20" s="1139" t="n">
        <x:f>B19*32%</x:f>
      </x:c>
      <x:c r="C20" s="1139" t="n">
        <x:f>C19*32%</x:f>
      </x:c>
      <x:c r="D20" s="1139" t="n">
        <x:f>D19*32%</x:f>
      </x:c>
      <x:c r="E20" s="983"/>
      <x:c r="F20" s="678"/>
      <x:c r="G20" s="678"/>
      <x:c r="H20" s="335"/>
      <x:c r="I20" s="335"/>
      <x:c r="J20" s="335"/>
      <x:c r="K20" s="335"/>
      <x:c r="L20" s="335"/>
      <x:c r="M20" s="335"/>
      <x:c r="N20" s="335"/>
      <x:c r="O20" s="335"/>
    </x:row>
    <x:row r="21" outlineLevel="1">
      <x:c r="A21" s="982" t="str">
        <x:v>Terminal Growth</x:v>
      </x:c>
      <x:c r="B21" s="1140" t="n">
        <x:f>'01_Inputs_Historicals'!C65+'01_Inputs_Historicals'!$B$75</x:f>
      </x:c>
      <x:c r="C21" s="1140" t="n">
        <x:f>'01_Inputs_Historicals'!C65+'01_Inputs_Historicals'!$C$75</x:f>
      </x:c>
      <x:c r="D21" s="1140" t="n">
        <x:f>'01_Inputs_Historicals'!C65+'01_Inputs_Historicals'!$D$75</x:f>
      </x:c>
      <x:c r="E21" s="983"/>
      <x:c r="F21" s="678"/>
      <x:c r="G21" s="678"/>
      <x:c r="H21" s="335"/>
      <x:c r="I21" s="335"/>
      <x:c r="J21" s="335"/>
      <x:c r="K21" s="335"/>
      <x:c r="L21" s="335"/>
      <x:c r="M21" s="335"/>
      <x:c r="N21" s="335"/>
      <x:c r="O21" s="335"/>
    </x:row>
    <x:row r="22" outlineLevel="1">
      <x:c r="A22" s="984" t="str">
        <x:v>Indicative Price</x:v>
      </x:c>
      <x:c r="B22" s="1136" t="n">
        <x:f>(('04_DCF_Valuation'!$E$28*(B20/'04_DCF_Valuation'!$F$7))+('04_DCF_Valuation'!$F$11*(B20/'04_DCF_Valuation'!$F$7)*(1+B21)/('04_DCF_Valuation'!$B$29-B21))*'04_DCF_Valuation'!$F$24-'04_DCF_Valuation'!$E$34)/'04_DCF_Valuation'!$H$29</x:f>
      </x:c>
      <x:c r="C22" s="1136" t="n">
        <x:f>(('04_DCF_Valuation'!$E$28*(C20/'04_DCF_Valuation'!$F$7))+('04_DCF_Valuation'!$F$11*(C20/'04_DCF_Valuation'!$F$7)*(1+C21)/('04_DCF_Valuation'!$B$29-C21))*'04_DCF_Valuation'!$F$24-'04_DCF_Valuation'!$E$34)/'04_DCF_Valuation'!$H$29</x:f>
      </x:c>
      <x:c r="D22" s="1136" t="n">
        <x:f>(('04_DCF_Valuation'!$E$28*(D20/'04_DCF_Valuation'!$F$7))+('04_DCF_Valuation'!$F$11*(D20/'04_DCF_Valuation'!$F$7)*(1+D21)/('04_DCF_Valuation'!$B$29-D21))*'04_DCF_Valuation'!$F$24-'04_DCF_Valuation'!$E$34)/'04_DCF_Valuation'!$H$29</x:f>
      </x:c>
      <x:c r="E22" s="1137" t="n">
        <x:f>'00_Dashboard'!B10</x:f>
      </x:c>
      <x:c r="F22" s="678"/>
      <x:c r="G22" s="678"/>
      <x:c r="H22" s="335"/>
      <x:c r="I22" s="335"/>
      <x:c r="J22" s="335"/>
      <x:c r="K22" s="335"/>
      <x:c r="L22" s="335"/>
      <x:c r="M22" s="335"/>
      <x:c r="N22" s="335"/>
      <x:c r="O22" s="335"/>
    </x:row>
    <x:row r="23" outlineLevel="1">
      <x:c r="A23" s="678"/>
      <x:c r="B23" s="678"/>
      <x:c r="C23" s="678"/>
      <x:c r="D23" s="678"/>
      <x:c r="E23" s="678"/>
      <x:c r="F23" s="678"/>
      <x:c r="G23" s="678"/>
      <x:c r="H23" s="335"/>
      <x:c r="I23" s="335"/>
      <x:c r="J23" s="335"/>
      <x:c r="K23" s="335"/>
      <x:c r="L23" s="335"/>
      <x:c r="M23" s="335"/>
      <x:c r="N23" s="335"/>
      <x:c r="O23" s="335"/>
    </x:row>
    <x:row r="24" outlineLevel="1">
      <x:c r="A24" s="678"/>
      <x:c r="B24" s="678"/>
      <x:c r="C24" s="678"/>
      <x:c r="D24" s="678"/>
      <x:c r="E24" s="678"/>
      <x:c r="F24" s="678"/>
      <x:c r="G24" s="678"/>
      <x:c r="H24" s="335"/>
      <x:c r="I24" s="335"/>
      <x:c r="J24" s="335"/>
      <x:c r="K24" s="335"/>
      <x:c r="L24" s="335"/>
      <x:c r="M24" s="335"/>
      <x:c r="N24" s="335"/>
      <x:c r="O24" s="335"/>
    </x:row>
    <x:row r="25">
      <x:c r="A25" s="678"/>
      <x:c r="B25" s="678"/>
      <x:c r="C25" s="678"/>
      <x:c r="D25" s="678"/>
      <x:c r="E25" s="678"/>
      <x:c r="F25" s="678"/>
      <x:c r="G25" s="678"/>
      <x:c r="H25" s="335"/>
      <x:c r="I25" s="335"/>
      <x:c r="J25" s="335"/>
      <x:c r="K25" s="335"/>
      <x:c r="L25" s="335"/>
      <x:c r="M25" s="335"/>
      <x:c r="N25" s="335"/>
      <x:c r="O25" s="335"/>
    </x:row>
    <x:row r="26">
      <x:c r="A26" s="953" t="str">
        <x:v>Enterprise Value - WACC vs Terminal Growth</x:v>
      </x:c>
      <x:c r="B26" s="953"/>
      <x:c r="C26" s="953"/>
      <x:c r="D26" s="953"/>
      <x:c r="E26" s="953"/>
      <x:c r="F26" s="953"/>
      <x:c r="G26" s="953"/>
      <x:c r="H26" s="335"/>
      <x:c r="I26" s="335"/>
      <x:c r="J26" s="335"/>
      <x:c r="K26" s="335"/>
      <x:c r="L26" s="335"/>
      <x:c r="M26" s="335"/>
      <x:c r="N26" s="335"/>
      <x:c r="O26" s="335"/>
    </x:row>
    <x:row r="27" outlineLevel="1">
      <x:c r="A27" s="628"/>
      <x:c r="B27" s="628"/>
      <x:c r="C27" s="628"/>
      <x:c r="D27" s="628"/>
      <x:c r="E27" s="628"/>
      <x:c r="F27" s="628"/>
      <x:c r="G27" s="628"/>
      <x:c r="H27" s="335"/>
      <x:c r="I27" s="335"/>
      <x:c r="J27" s="335"/>
      <x:c r="K27" s="335"/>
      <x:c r="L27" s="335"/>
      <x:c r="M27" s="335"/>
      <x:c r="N27" s="335"/>
      <x:c r="O27" s="335"/>
    </x:row>
    <x:row r="28" outlineLevel="1">
      <x:c r="A28" s="972" t="str">
        <x:v>WACC \ TGR</x:v>
      </x:c>
      <x:c r="B28" s="1129" t="n">
        <x:v>0.015</x:v>
      </x:c>
      <x:c r="C28" s="1129" t="n">
        <x:v>0.02</x:v>
      </x:c>
      <x:c r="D28" s="1129" t="n">
        <x:v>0.025</x:v>
      </x:c>
      <x:c r="E28" s="1129" t="n">
        <x:v>0.03</x:v>
      </x:c>
      <x:c r="F28" s="1129" t="n">
        <x:v>0.035</x:v>
      </x:c>
      <x:c r="G28" s="1130" t="n">
        <x:v>0.04</x:v>
      </x:c>
      <x:c r="H28" s="335"/>
      <x:c r="I28" s="335"/>
      <x:c r="J28" s="335"/>
      <x:c r="K28" s="335"/>
      <x:c r="L28" s="335"/>
      <x:c r="M28" s="335"/>
      <x:c r="N28" s="335"/>
      <x:c r="O28" s="335"/>
    </x:row>
    <x:row r="29" outlineLevel="1">
      <x:c r="A29" s="1131" t="n">
        <x:v>0.075</x:v>
      </x:c>
      <x:c r="B29" s="1138" t="n">
        <x:f>SUM('04_DCF_Valuation'!$B$25:$F$25)+('04_DCF_Valuation'!$F$11*(1+B$28)/($A29-B$28))*'04_DCF_Valuation'!$F$24</x:f>
      </x:c>
      <x:c r="C29" s="1138" t="n">
        <x:f>SUM('04_DCF_Valuation'!$B$25:$F$25)+('04_DCF_Valuation'!$F$11*(1+C$28)/($A29-C$28))*'04_DCF_Valuation'!$F$24</x:f>
      </x:c>
      <x:c r="D29" s="1138" t="n">
        <x:f>SUM('04_DCF_Valuation'!$B$25:$F$25)+('04_DCF_Valuation'!$F$11*(1+D$28)/($A29-D$28))*'04_DCF_Valuation'!$F$24</x:f>
      </x:c>
      <x:c r="E29" s="1138" t="n">
        <x:f>SUM('04_DCF_Valuation'!$B$25:$F$25)+('04_DCF_Valuation'!$F$11*(1+E$28)/($A29-E$28))*'04_DCF_Valuation'!$F$24</x:f>
      </x:c>
      <x:c r="F29" s="1138" t="n">
        <x:f>SUM('04_DCF_Valuation'!$B$25:$F$25)+('04_DCF_Valuation'!$F$11*(1+F$28)/($A29-F$28))*'04_DCF_Valuation'!$F$24</x:f>
      </x:c>
      <x:c r="G29" s="1141" t="n">
        <x:f>SUM('04_DCF_Valuation'!$B$25:$F$25)+('04_DCF_Valuation'!$F$11*(1+G$28)/($A29-G$28))*'04_DCF_Valuation'!$F$24</x:f>
      </x:c>
      <x:c r="H29" s="335"/>
      <x:c r="I29" s="335"/>
      <x:c r="J29" s="335"/>
      <x:c r="K29" s="335"/>
      <x:c r="L29" s="335"/>
      <x:c r="M29" s="335"/>
      <x:c r="N29" s="335"/>
      <x:c r="O29" s="335"/>
    </x:row>
    <x:row r="30" outlineLevel="1">
      <x:c r="A30" s="1131" t="n">
        <x:v>0.08</x:v>
      </x:c>
      <x:c r="B30" s="1138" t="n">
        <x:f>SUM('04_DCF_Valuation'!$B$25:$F$25)+('04_DCF_Valuation'!$F$11*(1+B$28)/($A30-B$28))*'04_DCF_Valuation'!$F$24</x:f>
      </x:c>
      <x:c r="C30" s="1138" t="n">
        <x:f>SUM('04_DCF_Valuation'!$B$25:$F$25)+('04_DCF_Valuation'!$F$11*(1+C$28)/($A30-C$28))*'04_DCF_Valuation'!$F$24</x:f>
      </x:c>
      <x:c r="D30" s="1138" t="n">
        <x:f>SUM('04_DCF_Valuation'!$B$25:$F$25)+('04_DCF_Valuation'!$F$11*(1+D$28)/($A30-D$28))*'04_DCF_Valuation'!$F$24</x:f>
      </x:c>
      <x:c r="E30" s="1138" t="n">
        <x:f>SUM('04_DCF_Valuation'!$B$25:$F$25)+('04_DCF_Valuation'!$F$11*(1+E$28)/($A30-E$28))*'04_DCF_Valuation'!$F$24</x:f>
      </x:c>
      <x:c r="F30" s="1138" t="n">
        <x:f>SUM('04_DCF_Valuation'!$B$25:$F$25)+('04_DCF_Valuation'!$F$11*(1+F$28)/($A30-F$28))*'04_DCF_Valuation'!$F$24</x:f>
      </x:c>
      <x:c r="G30" s="1141" t="n">
        <x:f>SUM('04_DCF_Valuation'!$B$25:$F$25)+('04_DCF_Valuation'!$F$11*(1+G$28)/($A30-G$28))*'04_DCF_Valuation'!$F$24</x:f>
      </x:c>
      <x:c r="H30" s="335"/>
      <x:c r="I30" s="335"/>
      <x:c r="J30" s="335"/>
      <x:c r="K30" s="335"/>
      <x:c r="L30" s="335"/>
      <x:c r="M30" s="335"/>
      <x:c r="N30" s="335"/>
      <x:c r="O30" s="335"/>
    </x:row>
    <x:row r="31" outlineLevel="1">
      <x:c r="A31" s="1131" t="n">
        <x:v>0.085</x:v>
      </x:c>
      <x:c r="B31" s="1138" t="n">
        <x:f>SUM('04_DCF_Valuation'!$B$25:$F$25)+('04_DCF_Valuation'!$F$11*(1+B$28)/($A31-B$28))*'04_DCF_Valuation'!$F$24</x:f>
      </x:c>
      <x:c r="C31" s="1138" t="n">
        <x:f>SUM('04_DCF_Valuation'!$B$25:$F$25)+('04_DCF_Valuation'!$F$11*(1+C$28)/($A31-C$28))*'04_DCF_Valuation'!$F$24</x:f>
      </x:c>
      <x:c r="D31" s="1138" t="n">
        <x:f>SUM('04_DCF_Valuation'!$B$25:$F$25)+('04_DCF_Valuation'!$F$11*(1+D$28)/($A31-D$28))*'04_DCF_Valuation'!$F$24</x:f>
      </x:c>
      <x:c r="E31" s="1138" t="n">
        <x:f>SUM('04_DCF_Valuation'!$B$25:$F$25)+('04_DCF_Valuation'!$F$11*(1+E$28)/($A31-E$28))*'04_DCF_Valuation'!$F$24</x:f>
      </x:c>
      <x:c r="F31" s="1138" t="n">
        <x:f>SUM('04_DCF_Valuation'!$B$25:$F$25)+('04_DCF_Valuation'!$F$11*(1+F$28)/($A31-F$28))*'04_DCF_Valuation'!$F$24</x:f>
      </x:c>
      <x:c r="G31" s="1141" t="n">
        <x:f>SUM('04_DCF_Valuation'!$B$25:$F$25)+('04_DCF_Valuation'!$F$11*(1+G$28)/($A31-G$28))*'04_DCF_Valuation'!$F$24</x:f>
      </x:c>
      <x:c r="H31" s="335"/>
      <x:c r="I31" s="335"/>
      <x:c r="J31" s="335"/>
      <x:c r="K31" s="335"/>
      <x:c r="L31" s="335"/>
      <x:c r="M31" s="335"/>
      <x:c r="N31" s="335"/>
      <x:c r="O31" s="335"/>
    </x:row>
    <x:row r="32" outlineLevel="1">
      <x:c r="A32" s="1131" t="n">
        <x:v>0.09</x:v>
      </x:c>
      <x:c r="B32" s="1138" t="n">
        <x:f>SUM('04_DCF_Valuation'!$B$25:$F$25)+('04_DCF_Valuation'!$F$11*(1+B$28)/($A32-B$28))*'04_DCF_Valuation'!$F$24</x:f>
      </x:c>
      <x:c r="C32" s="1138" t="n">
        <x:f>SUM('04_DCF_Valuation'!$B$25:$F$25)+('04_DCF_Valuation'!$F$11*(1+C$28)/($A32-C$28))*'04_DCF_Valuation'!$F$24</x:f>
      </x:c>
      <x:c r="D32" s="1138" t="n">
        <x:f>SUM('04_DCF_Valuation'!$B$25:$F$25)+('04_DCF_Valuation'!$F$11*(1+D$28)/($A32-D$28))*'04_DCF_Valuation'!$F$24</x:f>
      </x:c>
      <x:c r="E32" s="1138" t="n">
        <x:f>SUM('04_DCF_Valuation'!$B$25:$F$25)+('04_DCF_Valuation'!$F$11*(1+E$28)/($A32-E$28))*'04_DCF_Valuation'!$F$24</x:f>
      </x:c>
      <x:c r="F32" s="1138" t="n">
        <x:f>SUM('04_DCF_Valuation'!$B$25:$F$25)+('04_DCF_Valuation'!$F$11*(1+F$28)/($A32-F$28))*'04_DCF_Valuation'!$F$24</x:f>
      </x:c>
      <x:c r="G32" s="1141" t="n">
        <x:f>SUM('04_DCF_Valuation'!$B$25:$F$25)+('04_DCF_Valuation'!$F$11*(1+G$28)/($A32-G$28))*'04_DCF_Valuation'!$F$24</x:f>
      </x:c>
      <x:c r="H32" s="335"/>
      <x:c r="I32" s="335"/>
      <x:c r="J32" s="335"/>
      <x:c r="K32" s="335"/>
      <x:c r="L32" s="335"/>
      <x:c r="M32" s="335"/>
      <x:c r="N32" s="335"/>
      <x:c r="O32" s="335"/>
    </x:row>
    <x:row r="33" outlineLevel="1">
      <x:c r="A33" s="1131" t="n">
        <x:v>0.095</x:v>
      </x:c>
      <x:c r="B33" s="1138" t="n">
        <x:f>SUM('04_DCF_Valuation'!$B$25:$F$25)+('04_DCF_Valuation'!$F$11*(1+B$28)/($A33-B$28))*'04_DCF_Valuation'!$F$24</x:f>
      </x:c>
      <x:c r="C33" s="1138" t="n">
        <x:f>SUM('04_DCF_Valuation'!$B$25:$F$25)+('04_DCF_Valuation'!$F$11*(1+C$28)/($A33-C$28))*'04_DCF_Valuation'!$F$24</x:f>
      </x:c>
      <x:c r="D33" s="1138" t="n">
        <x:f>SUM('04_DCF_Valuation'!$B$25:$F$25)+('04_DCF_Valuation'!$F$11*(1+D$28)/($A33-D$28))*'04_DCF_Valuation'!$F$24</x:f>
      </x:c>
      <x:c r="E33" s="1138" t="n">
        <x:f>SUM('04_DCF_Valuation'!$B$25:$F$25)+('04_DCF_Valuation'!$F$11*(1+E$28)/($A33-E$28))*'04_DCF_Valuation'!$F$24</x:f>
      </x:c>
      <x:c r="F33" s="1138" t="n">
        <x:f>SUM('04_DCF_Valuation'!$B$25:$F$25)+('04_DCF_Valuation'!$F$11*(1+F$28)/($A33-F$28))*'04_DCF_Valuation'!$F$24</x:f>
      </x:c>
      <x:c r="G33" s="1141" t="n">
        <x:f>SUM('04_DCF_Valuation'!$B$25:$F$25)+('04_DCF_Valuation'!$F$11*(1+G$28)/($A33-G$28))*'04_DCF_Valuation'!$F$24</x:f>
      </x:c>
      <x:c r="H33" s="335"/>
      <x:c r="I33" s="335"/>
      <x:c r="J33" s="335"/>
      <x:c r="K33" s="335"/>
      <x:c r="L33" s="335"/>
      <x:c r="M33" s="335"/>
      <x:c r="N33" s="335"/>
      <x:c r="O33" s="335"/>
    </x:row>
    <x:row r="34" outlineLevel="1">
      <x:c r="A34" s="1135" t="n">
        <x:v>0.1</x:v>
      </x:c>
      <x:c r="B34" s="1142" t="n">
        <x:f>SUM('04_DCF_Valuation'!$B$25:$F$25)+('04_DCF_Valuation'!$F$11*(1+B$28)/($A34-B$28))*'04_DCF_Valuation'!$F$24</x:f>
      </x:c>
      <x:c r="C34" s="1142" t="n">
        <x:f>SUM('04_DCF_Valuation'!$B$25:$F$25)+('04_DCF_Valuation'!$F$11*(1+C$28)/($A34-C$28))*'04_DCF_Valuation'!$F$24</x:f>
      </x:c>
      <x:c r="D34" s="1142" t="n">
        <x:f>SUM('04_DCF_Valuation'!$B$25:$F$25)+('04_DCF_Valuation'!$F$11*(1+D$28)/($A34-D$28))*'04_DCF_Valuation'!$F$24</x:f>
      </x:c>
      <x:c r="E34" s="1142" t="n">
        <x:f>SUM('04_DCF_Valuation'!$B$25:$F$25)+('04_DCF_Valuation'!$F$11*(1+E$28)/($A34-E$28))*'04_DCF_Valuation'!$F$24</x:f>
      </x:c>
      <x:c r="F34" s="1142" t="n">
        <x:f>SUM('04_DCF_Valuation'!$B$25:$F$25)+('04_DCF_Valuation'!$F$11*(1+F$28)/($A34-F$28))*'04_DCF_Valuation'!$F$24</x:f>
      </x:c>
      <x:c r="G34" s="1143" t="n">
        <x:f>SUM('04_DCF_Valuation'!$B$25:$F$25)+('04_DCF_Valuation'!$F$11*(1+G$28)/($A34-G$28))*'04_DCF_Valuation'!$F$24</x:f>
      </x:c>
      <x:c r="H34" s="335"/>
      <x:c r="I34" s="335"/>
      <x:c r="J34" s="335"/>
      <x:c r="K34" s="335"/>
      <x:c r="L34" s="335"/>
      <x:c r="M34" s="335"/>
      <x:c r="N34" s="335"/>
      <x:c r="O34" s="335"/>
    </x:row>
    <x:row r="35" outlineLevel="1">
      <x:c r="A35" s="628"/>
      <x:c r="B35" s="628"/>
      <x:c r="C35" s="628"/>
      <x:c r="D35" s="628"/>
      <x:c r="E35" s="628"/>
      <x:c r="F35" s="628"/>
      <x:c r="G35" s="628"/>
      <x:c r="H35" s="335"/>
      <x:c r="I35" s="335"/>
      <x:c r="J35" s="335"/>
      <x:c r="K35" s="335"/>
      <x:c r="L35" s="335"/>
      <x:c r="M35" s="335"/>
      <x:c r="N35" s="335"/>
      <x:c r="O35" s="335"/>
    </x:row>
    <x:row r="36" outlineLevel="1">
      <x:c r="A36" s="628"/>
      <x:c r="B36" s="628"/>
      <x:c r="C36" s="628"/>
      <x:c r="D36" s="628"/>
      <x:c r="E36" s="628"/>
      <x:c r="F36" s="628"/>
      <x:c r="G36" s="628"/>
      <x:c r="H36" s="335"/>
      <x:c r="I36" s="335"/>
      <x:c r="J36" s="335"/>
      <x:c r="K36" s="335"/>
      <x:c r="L36" s="335"/>
      <x:c r="M36" s="335"/>
      <x:c r="N36" s="335"/>
      <x:c r="O36" s="335"/>
    </x:row>
    <x:row r="37">
      <x:c r="A37" s="628"/>
      <x:c r="B37" s="628"/>
      <x:c r="C37" s="628"/>
      <x:c r="D37" s="628"/>
      <x:c r="E37" s="628"/>
      <x:c r="F37" s="628"/>
      <x:c r="G37" s="628"/>
      <x:c r="H37" s="335"/>
      <x:c r="I37" s="335"/>
      <x:c r="J37" s="335"/>
      <x:c r="K37" s="335"/>
      <x:c r="L37" s="335"/>
      <x:c r="M37" s="335"/>
      <x:c r="N37" s="335"/>
      <x:c r="O37" s="335"/>
    </x:row>
    <x:row r="38">
      <x:c r="A38" s="953" t="str">
        <x:v>Premium / (Discount) to Current Price</x:v>
      </x:c>
      <x:c r="B38" s="953"/>
      <x:c r="C38" s="953"/>
      <x:c r="D38" s="953"/>
      <x:c r="E38" s="953"/>
      <x:c r="F38" s="953"/>
      <x:c r="G38" s="953"/>
      <x:c r="H38" s="335"/>
      <x:c r="I38" s="335"/>
      <x:c r="J38" s="335"/>
      <x:c r="K38" s="335"/>
      <x:c r="L38" s="335"/>
      <x:c r="M38" s="335"/>
      <x:c r="N38" s="335"/>
      <x:c r="O38" s="335"/>
    </x:row>
    <x:row r="39" outlineLevel="1">
      <x:c r="A39" s="628"/>
      <x:c r="B39" s="628"/>
      <x:c r="C39" s="628"/>
      <x:c r="D39" s="628"/>
      <x:c r="E39" s="628"/>
      <x:c r="F39" s="628"/>
      <x:c r="G39" s="628"/>
      <x:c r="H39" s="335"/>
      <x:c r="I39" s="335"/>
      <x:c r="J39" s="335"/>
      <x:c r="K39" s="335"/>
      <x:c r="L39" s="335"/>
      <x:c r="M39" s="335"/>
      <x:c r="N39" s="335"/>
      <x:c r="O39" s="335"/>
    </x:row>
    <x:row r="40" outlineLevel="1">
      <x:c r="A40" s="972" t="str">
        <x:v>WACC \ TGR</x:v>
      </x:c>
      <x:c r="B40" s="1129" t="n">
        <x:v>0.015</x:v>
      </x:c>
      <x:c r="C40" s="1129" t="n">
        <x:v>0.02</x:v>
      </x:c>
      <x:c r="D40" s="1129" t="n">
        <x:v>0.025</x:v>
      </x:c>
      <x:c r="E40" s="1129" t="n">
        <x:v>0.03</x:v>
      </x:c>
      <x:c r="F40" s="1129" t="n">
        <x:v>0.035</x:v>
      </x:c>
      <x:c r="G40" s="1130" t="n">
        <x:v>0.04</x:v>
      </x:c>
      <x:c r="H40" s="335"/>
      <x:c r="I40" s="335"/>
      <x:c r="J40" s="335"/>
      <x:c r="K40" s="335"/>
      <x:c r="L40" s="335"/>
      <x:c r="M40" s="335"/>
      <x:c r="N40" s="335"/>
      <x:c r="O40" s="335"/>
    </x:row>
    <x:row r="41" outlineLevel="1">
      <x:c r="A41" s="1131" t="n">
        <x:v>0.075</x:v>
      </x:c>
      <x:c r="B41" s="1140" t="n">
        <x:f>((SUM('04_DCF_Valuation'!$B$25:$F$25)+('04_DCF_Valuation'!$F$11*(1+B$40)/($A41-B$40))*'04_DCF_Valuation'!$F$24-'04_DCF_Valuation'!$E$34)/'04_DCF_Valuation'!$H$29)/'00_Dashboard'!$B$10-1</x:f>
      </x:c>
      <x:c r="C41" s="1140" t="n">
        <x:f>((SUM('04_DCF_Valuation'!$B$25:$F$25)+('04_DCF_Valuation'!$F$11*(1+C$40)/($A41-C$40))*'04_DCF_Valuation'!$F$24-'04_DCF_Valuation'!$E$34)/'04_DCF_Valuation'!$H$29)/'00_Dashboard'!$B$10-1</x:f>
      </x:c>
      <x:c r="D41" s="1140" t="n">
        <x:f>((SUM('04_DCF_Valuation'!$B$25:$F$25)+('04_DCF_Valuation'!$F$11*(1+D$40)/($A41-D$40))*'04_DCF_Valuation'!$F$24-'04_DCF_Valuation'!$E$34)/'04_DCF_Valuation'!$H$29)/'00_Dashboard'!$B$10-1</x:f>
      </x:c>
      <x:c r="E41" s="1140" t="n">
        <x:f>((SUM('04_DCF_Valuation'!$B$25:$F$25)+('04_DCF_Valuation'!$F$11*(1+E$40)/($A41-E$40))*'04_DCF_Valuation'!$F$24-'04_DCF_Valuation'!$E$34)/'04_DCF_Valuation'!$H$29)/'00_Dashboard'!$B$10-1</x:f>
      </x:c>
      <x:c r="F41" s="1140" t="n">
        <x:f>((SUM('04_DCF_Valuation'!$B$25:$F$25)+('04_DCF_Valuation'!$F$11*(1+F$40)/($A41-F$40))*'04_DCF_Valuation'!$F$24-'04_DCF_Valuation'!$E$34)/'04_DCF_Valuation'!$H$29)/'00_Dashboard'!$B$10-1</x:f>
      </x:c>
      <x:c r="G41" s="1144" t="n">
        <x:f>((SUM('04_DCF_Valuation'!$B$25:$F$25)+('04_DCF_Valuation'!$F$11*(1+G$40)/($A41-G$40))*'04_DCF_Valuation'!$F$24-'04_DCF_Valuation'!$E$34)/'04_DCF_Valuation'!$H$29)/'00_Dashboard'!$B$10-1</x:f>
      </x:c>
      <x:c r="H41" s="335"/>
      <x:c r="I41" s="335"/>
      <x:c r="J41" s="335"/>
      <x:c r="K41" s="335"/>
      <x:c r="L41" s="335"/>
      <x:c r="M41" s="335"/>
      <x:c r="N41" s="335"/>
      <x:c r="O41" s="335"/>
    </x:row>
    <x:row r="42" outlineLevel="1">
      <x:c r="A42" s="1131" t="n">
        <x:v>0.08</x:v>
      </x:c>
      <x:c r="B42" s="1140" t="n">
        <x:f>((SUM('04_DCF_Valuation'!$B$25:$F$25)+('04_DCF_Valuation'!$F$11*(1+B$40)/($A42-B$40))*'04_DCF_Valuation'!$F$24-'04_DCF_Valuation'!$E$34)/'04_DCF_Valuation'!$H$29)/'00_Dashboard'!$B$10-1</x:f>
      </x:c>
      <x:c r="C42" s="1140" t="n">
        <x:f>((SUM('04_DCF_Valuation'!$B$25:$F$25)+('04_DCF_Valuation'!$F$11*(1+C$40)/($A42-C$40))*'04_DCF_Valuation'!$F$24-'04_DCF_Valuation'!$E$34)/'04_DCF_Valuation'!$H$29)/'00_Dashboard'!$B$10-1</x:f>
      </x:c>
      <x:c r="D42" s="1140" t="n">
        <x:f>((SUM('04_DCF_Valuation'!$B$25:$F$25)+('04_DCF_Valuation'!$F$11*(1+D$40)/($A42-D$40))*'04_DCF_Valuation'!$F$24-'04_DCF_Valuation'!$E$34)/'04_DCF_Valuation'!$H$29)/'00_Dashboard'!$B$10-1</x:f>
      </x:c>
      <x:c r="E42" s="1140" t="n">
        <x:f>((SUM('04_DCF_Valuation'!$B$25:$F$25)+('04_DCF_Valuation'!$F$11*(1+E$40)/($A42-E$40))*'04_DCF_Valuation'!$F$24-'04_DCF_Valuation'!$E$34)/'04_DCF_Valuation'!$H$29)/'00_Dashboard'!$B$10-1</x:f>
      </x:c>
      <x:c r="F42" s="1140" t="n">
        <x:f>((SUM('04_DCF_Valuation'!$B$25:$F$25)+('04_DCF_Valuation'!$F$11*(1+F$40)/($A42-F$40))*'04_DCF_Valuation'!$F$24-'04_DCF_Valuation'!$E$34)/'04_DCF_Valuation'!$H$29)/'00_Dashboard'!$B$10-1</x:f>
      </x:c>
      <x:c r="G42" s="1144" t="n">
        <x:f>((SUM('04_DCF_Valuation'!$B$25:$F$25)+('04_DCF_Valuation'!$F$11*(1+G$40)/($A42-G$40))*'04_DCF_Valuation'!$F$24-'04_DCF_Valuation'!$E$34)/'04_DCF_Valuation'!$H$29)/'00_Dashboard'!$B$10-1</x:f>
      </x:c>
      <x:c r="H42" s="335"/>
      <x:c r="I42" s="335"/>
      <x:c r="J42" s="335"/>
      <x:c r="K42" s="335"/>
      <x:c r="L42" s="335"/>
      <x:c r="M42" s="335"/>
      <x:c r="N42" s="335"/>
      <x:c r="O42" s="335"/>
    </x:row>
    <x:row r="43" outlineLevel="1">
      <x:c r="A43" s="1131" t="n">
        <x:v>0.085</x:v>
      </x:c>
      <x:c r="B43" s="1140" t="n">
        <x:f>((SUM('04_DCF_Valuation'!$B$25:$F$25)+('04_DCF_Valuation'!$F$11*(1+B$40)/($A43-B$40))*'04_DCF_Valuation'!$F$24-'04_DCF_Valuation'!$E$34)/'04_DCF_Valuation'!$H$29)/'00_Dashboard'!$B$10-1</x:f>
      </x:c>
      <x:c r="C43" s="1140" t="n">
        <x:f>((SUM('04_DCF_Valuation'!$B$25:$F$25)+('04_DCF_Valuation'!$F$11*(1+C$40)/($A43-C$40))*'04_DCF_Valuation'!$F$24-'04_DCF_Valuation'!$E$34)/'04_DCF_Valuation'!$H$29)/'00_Dashboard'!$B$10-1</x:f>
      </x:c>
      <x:c r="D43" s="1140" t="n">
        <x:f>((SUM('04_DCF_Valuation'!$B$25:$F$25)+('04_DCF_Valuation'!$F$11*(1+D$40)/($A43-D$40))*'04_DCF_Valuation'!$F$24-'04_DCF_Valuation'!$E$34)/'04_DCF_Valuation'!$H$29)/'00_Dashboard'!$B$10-1</x:f>
      </x:c>
      <x:c r="E43" s="1140" t="n">
        <x:f>((SUM('04_DCF_Valuation'!$B$25:$F$25)+('04_DCF_Valuation'!$F$11*(1+E$40)/($A43-E$40))*'04_DCF_Valuation'!$F$24-'04_DCF_Valuation'!$E$34)/'04_DCF_Valuation'!$H$29)/'00_Dashboard'!$B$10-1</x:f>
      </x:c>
      <x:c r="F43" s="1140" t="n">
        <x:f>((SUM('04_DCF_Valuation'!$B$25:$F$25)+('04_DCF_Valuation'!$F$11*(1+F$40)/($A43-F$40))*'04_DCF_Valuation'!$F$24-'04_DCF_Valuation'!$E$34)/'04_DCF_Valuation'!$H$29)/'00_Dashboard'!$B$10-1</x:f>
      </x:c>
      <x:c r="G43" s="1144" t="n">
        <x:f>((SUM('04_DCF_Valuation'!$B$25:$F$25)+('04_DCF_Valuation'!$F$11*(1+G$40)/($A43-G$40))*'04_DCF_Valuation'!$F$24-'04_DCF_Valuation'!$E$34)/'04_DCF_Valuation'!$H$29)/'00_Dashboard'!$B$10-1</x:f>
      </x:c>
      <x:c r="H43" s="335"/>
      <x:c r="I43" s="335"/>
      <x:c r="J43" s="335"/>
      <x:c r="K43" s="335"/>
      <x:c r="L43" s="335"/>
      <x:c r="M43" s="335"/>
      <x:c r="N43" s="335"/>
      <x:c r="O43" s="335"/>
    </x:row>
    <x:row r="44" outlineLevel="1">
      <x:c r="A44" s="1131" t="n">
        <x:v>0.09</x:v>
      </x:c>
      <x:c r="B44" s="1140" t="n">
        <x:f>((SUM('04_DCF_Valuation'!$B$25:$F$25)+('04_DCF_Valuation'!$F$11*(1+B$40)/($A44-B$40))*'04_DCF_Valuation'!$F$24-'04_DCF_Valuation'!$E$34)/'04_DCF_Valuation'!$H$29)/'00_Dashboard'!$B$10-1</x:f>
      </x:c>
      <x:c r="C44" s="1140" t="n">
        <x:f>((SUM('04_DCF_Valuation'!$B$25:$F$25)+('04_DCF_Valuation'!$F$11*(1+C$40)/($A44-C$40))*'04_DCF_Valuation'!$F$24-'04_DCF_Valuation'!$E$34)/'04_DCF_Valuation'!$H$29)/'00_Dashboard'!$B$10-1</x:f>
      </x:c>
      <x:c r="D44" s="1140" t="n">
        <x:f>((SUM('04_DCF_Valuation'!$B$25:$F$25)+('04_DCF_Valuation'!$F$11*(1+D$40)/($A44-D$40))*'04_DCF_Valuation'!$F$24-'04_DCF_Valuation'!$E$34)/'04_DCF_Valuation'!$H$29)/'00_Dashboard'!$B$10-1</x:f>
      </x:c>
      <x:c r="E44" s="1140" t="n">
        <x:f>((SUM('04_DCF_Valuation'!$B$25:$F$25)+('04_DCF_Valuation'!$F$11*(1+E$40)/($A44-E$40))*'04_DCF_Valuation'!$F$24-'04_DCF_Valuation'!$E$34)/'04_DCF_Valuation'!$H$29)/'00_Dashboard'!$B$10-1</x:f>
      </x:c>
      <x:c r="F44" s="1140" t="n">
        <x:f>((SUM('04_DCF_Valuation'!$B$25:$F$25)+('04_DCF_Valuation'!$F$11*(1+F$40)/($A44-F$40))*'04_DCF_Valuation'!$F$24-'04_DCF_Valuation'!$E$34)/'04_DCF_Valuation'!$H$29)/'00_Dashboard'!$B$10-1</x:f>
      </x:c>
      <x:c r="G44" s="1144" t="n">
        <x:f>((SUM('04_DCF_Valuation'!$B$25:$F$25)+('04_DCF_Valuation'!$F$11*(1+G$40)/($A44-G$40))*'04_DCF_Valuation'!$F$24-'04_DCF_Valuation'!$E$34)/'04_DCF_Valuation'!$H$29)/'00_Dashboard'!$B$10-1</x:f>
      </x:c>
      <x:c r="H44" s="335"/>
      <x:c r="I44" s="335"/>
      <x:c r="J44" s="335"/>
      <x:c r="K44" s="335"/>
      <x:c r="L44" s="335"/>
      <x:c r="M44" s="335"/>
      <x:c r="N44" s="335"/>
      <x:c r="O44" s="335"/>
    </x:row>
    <x:row r="45" outlineLevel="1">
      <x:c r="A45" s="1131" t="n">
        <x:v>0.095</x:v>
      </x:c>
      <x:c r="B45" s="1140" t="n">
        <x:f>((SUM('04_DCF_Valuation'!$B$25:$F$25)+('04_DCF_Valuation'!$F$11*(1+B$40)/($A45-B$40))*'04_DCF_Valuation'!$F$24-'04_DCF_Valuation'!$E$34)/'04_DCF_Valuation'!$H$29)/'00_Dashboard'!$B$10-1</x:f>
      </x:c>
      <x:c r="C45" s="1140" t="n">
        <x:f>((SUM('04_DCF_Valuation'!$B$25:$F$25)+('04_DCF_Valuation'!$F$11*(1+C$40)/($A45-C$40))*'04_DCF_Valuation'!$F$24-'04_DCF_Valuation'!$E$34)/'04_DCF_Valuation'!$H$29)/'00_Dashboard'!$B$10-1</x:f>
      </x:c>
      <x:c r="D45" s="1140" t="n">
        <x:f>((SUM('04_DCF_Valuation'!$B$25:$F$25)+('04_DCF_Valuation'!$F$11*(1+D$40)/($A45-D$40))*'04_DCF_Valuation'!$F$24-'04_DCF_Valuation'!$E$34)/'04_DCF_Valuation'!$H$29)/'00_Dashboard'!$B$10-1</x:f>
      </x:c>
      <x:c r="E45" s="1140" t="n">
        <x:f>((SUM('04_DCF_Valuation'!$B$25:$F$25)+('04_DCF_Valuation'!$F$11*(1+E$40)/($A45-E$40))*'04_DCF_Valuation'!$F$24-'04_DCF_Valuation'!$E$34)/'04_DCF_Valuation'!$H$29)/'00_Dashboard'!$B$10-1</x:f>
      </x:c>
      <x:c r="F45" s="1140" t="n">
        <x:f>((SUM('04_DCF_Valuation'!$B$25:$F$25)+('04_DCF_Valuation'!$F$11*(1+F$40)/($A45-F$40))*'04_DCF_Valuation'!$F$24-'04_DCF_Valuation'!$E$34)/'04_DCF_Valuation'!$H$29)/'00_Dashboard'!$B$10-1</x:f>
      </x:c>
      <x:c r="G45" s="1144" t="n">
        <x:f>((SUM('04_DCF_Valuation'!$B$25:$F$25)+('04_DCF_Valuation'!$F$11*(1+G$40)/($A45-G$40))*'04_DCF_Valuation'!$F$24-'04_DCF_Valuation'!$E$34)/'04_DCF_Valuation'!$H$29)/'00_Dashboard'!$B$10-1</x:f>
      </x:c>
      <x:c r="H45" s="335"/>
      <x:c r="I45" s="335"/>
      <x:c r="J45" s="335"/>
      <x:c r="K45" s="335"/>
      <x:c r="L45" s="335"/>
      <x:c r="M45" s="335"/>
      <x:c r="N45" s="335"/>
      <x:c r="O45" s="335"/>
    </x:row>
    <x:row r="46" outlineLevel="1">
      <x:c r="A46" s="1135" t="n">
        <x:v>0.1</x:v>
      </x:c>
      <x:c r="B46" s="1145" t="n">
        <x:f>((SUM('04_DCF_Valuation'!$B$25:$F$25)+('04_DCF_Valuation'!$F$11*(1+B$40)/($A46-B$40))*'04_DCF_Valuation'!$F$24-'04_DCF_Valuation'!$E$34)/'04_DCF_Valuation'!$H$29)/'00_Dashboard'!$B$10-1</x:f>
      </x:c>
      <x:c r="C46" s="1145" t="n">
        <x:f>((SUM('04_DCF_Valuation'!$B$25:$F$25)+('04_DCF_Valuation'!$F$11*(1+C$40)/($A46-C$40))*'04_DCF_Valuation'!$F$24-'04_DCF_Valuation'!$E$34)/'04_DCF_Valuation'!$H$29)/'00_Dashboard'!$B$10-1</x:f>
      </x:c>
      <x:c r="D46" s="1145" t="n">
        <x:f>((SUM('04_DCF_Valuation'!$B$25:$F$25)+('04_DCF_Valuation'!$F$11*(1+D$40)/($A46-D$40))*'04_DCF_Valuation'!$F$24-'04_DCF_Valuation'!$E$34)/'04_DCF_Valuation'!$H$29)/'00_Dashboard'!$B$10-1</x:f>
      </x:c>
      <x:c r="E46" s="1145" t="n">
        <x:f>((SUM('04_DCF_Valuation'!$B$25:$F$25)+('04_DCF_Valuation'!$F$11*(1+E$40)/($A46-E$40))*'04_DCF_Valuation'!$F$24-'04_DCF_Valuation'!$E$34)/'04_DCF_Valuation'!$H$29)/'00_Dashboard'!$B$10-1</x:f>
      </x:c>
      <x:c r="F46" s="1145" t="n">
        <x:f>((SUM('04_DCF_Valuation'!$B$25:$F$25)+('04_DCF_Valuation'!$F$11*(1+F$40)/($A46-F$40))*'04_DCF_Valuation'!$F$24-'04_DCF_Valuation'!$E$34)/'04_DCF_Valuation'!$H$29)/'00_Dashboard'!$B$10-1</x:f>
      </x:c>
      <x:c r="G46" s="1146" t="n">
        <x:f>((SUM('04_DCF_Valuation'!$B$25:$F$25)+('04_DCF_Valuation'!$F$11*(1+G$40)/($A46-G$40))*'04_DCF_Valuation'!$F$24-'04_DCF_Valuation'!$E$34)/'04_DCF_Valuation'!$H$29)/'00_Dashboard'!$B$10-1</x:f>
      </x:c>
      <x:c r="H46" s="335"/>
      <x:c r="I46" s="335"/>
      <x:c r="J46" s="335"/>
      <x:c r="K46" s="335"/>
      <x:c r="L46" s="335"/>
      <x:c r="M46" s="335"/>
      <x:c r="N46" s="335"/>
      <x:c r="O46" s="335"/>
    </x:row>
    <x:row r="47" outlineLevel="1">
      <x:c r="A47" s="628"/>
      <x:c r="B47" s="628"/>
      <x:c r="C47" s="628"/>
      <x:c r="D47" s="628"/>
      <x:c r="E47" s="628"/>
      <x:c r="F47" s="628"/>
      <x:c r="G47" s="628"/>
      <x:c r="H47" s="335"/>
      <x:c r="I47" s="335"/>
      <x:c r="J47" s="335"/>
      <x:c r="K47" s="335"/>
      <x:c r="L47" s="335"/>
      <x:c r="M47" s="335"/>
      <x:c r="N47" s="335"/>
      <x:c r="O47" s="335"/>
    </x:row>
    <x:row r="48" outlineLevel="1">
      <x:c r="A48" s="628"/>
      <x:c r="B48" s="628"/>
      <x:c r="C48" s="628"/>
      <x:c r="D48" s="628"/>
      <x:c r="E48" s="628"/>
      <x:c r="F48" s="628"/>
      <x:c r="G48" s="628"/>
      <x:c r="H48" s="335"/>
      <x:c r="I48" s="335"/>
      <x:c r="J48" s="335"/>
      <x:c r="K48" s="335"/>
      <x:c r="L48" s="335"/>
      <x:c r="M48" s="335"/>
      <x:c r="N48" s="335"/>
      <x:c r="O48" s="335"/>
    </x:row>
    <x:row r="49">
      <x:c r="A49" s="628"/>
      <x:c r="B49" s="628"/>
      <x:c r="C49" s="628"/>
      <x:c r="D49" s="628"/>
      <x:c r="E49" s="628"/>
      <x:c r="F49" s="628"/>
      <x:c r="G49" s="628"/>
      <x:c r="H49" s="335"/>
      <x:c r="I49" s="335"/>
      <x:c r="J49" s="335"/>
      <x:c r="K49" s="335"/>
      <x:c r="L49" s="335"/>
      <x:c r="M49" s="335"/>
      <x:c r="N49" s="335"/>
      <x:c r="O49" s="335"/>
    </x:row>
    <x:row r="50">
      <x:c r="A50" s="972" t="str">
        <x:v>Sensitivity Checks</x:v>
      </x:c>
      <x:c r="B50" s="981"/>
      <x:c r="C50" s="628"/>
      <x:c r="D50" s="628"/>
      <x:c r="E50" s="628"/>
      <x:c r="F50" s="628"/>
      <x:c r="G50" s="628"/>
      <x:c r="H50" s="335"/>
      <x:c r="I50" s="335"/>
      <x:c r="J50" s="335"/>
      <x:c r="K50" s="335"/>
      <x:c r="L50" s="335"/>
      <x:c r="M50" s="335"/>
      <x:c r="N50" s="335"/>
      <x:c r="O50" s="335"/>
    </x:row>
    <x:row r="51" outlineLevel="1">
      <x:c r="A51" s="982" t="str">
        <x:v>Base Price vs DCF</x:v>
      </x:c>
      <x:c r="B51" s="983" t="str">
        <x:f>IF(ABS((SUM('04_DCF_Valuation'!$B$25:$F$25)+('04_DCF_Valuation'!$F$11*(1+'04_DCF_Valuation'!$B$28)/('04_DCF_Valuation'!$B$29-'04_DCF_Valuation'!$B$28))*'04_DCF_Valuation'!$F$24-'04_DCF_Valuation'!$E$34)/'01_Inputs_Historicals'!$C$67-'04_DCF_Valuation'!$H$30)&lt;0.01,"OK","CHECK")</x:f>
      </x:c>
      <x:c r="C51" s="628"/>
      <x:c r="D51" s="628"/>
      <x:c r="E51" s="628"/>
      <x:c r="F51" s="628"/>
      <x:c r="G51" s="628"/>
      <x:c r="H51" s="335"/>
      <x:c r="I51" s="335"/>
      <x:c r="J51" s="335"/>
      <x:c r="K51" s="335"/>
      <x:c r="L51" s="335"/>
      <x:c r="M51" s="335"/>
      <x:c r="N51" s="335"/>
      <x:c r="O51" s="335"/>
    </x:row>
    <x:row r="52" outlineLevel="1">
      <x:c r="A52" s="982" t="str">
        <x:v>WACC / TGR Grid Valid</x:v>
      </x:c>
      <x:c r="B52" s="983" t="str">
        <x:f>IF(AND(MIN(A7:A12)&gt;MAX(B6:G6),MIN(A29:A34)&gt;MAX(B28:G28)),"OK","CHECK")</x:f>
      </x:c>
      <x:c r="C52" s="628"/>
      <x:c r="D52" s="628"/>
      <x:c r="E52" s="628"/>
      <x:c r="F52" s="628"/>
      <x:c r="G52" s="628"/>
      <x:c r="H52" s="335"/>
      <x:c r="I52" s="335"/>
      <x:c r="J52" s="335"/>
      <x:c r="K52" s="335"/>
      <x:c r="L52" s="335"/>
      <x:c r="M52" s="335"/>
      <x:c r="N52" s="335"/>
      <x:c r="O52" s="335"/>
    </x:row>
    <x:row r="53" outlineLevel="1">
      <x:c r="A53" s="984" t="str">
        <x:v>Scenario Price Positive</x:v>
      </x:c>
      <x:c r="B53" s="991" t="str">
        <x:f>IF(MIN(B22:D22)&gt;0,"OK","CHECK")</x:f>
      </x:c>
      <x:c r="C53" s="628"/>
      <x:c r="D53" s="628"/>
      <x:c r="E53" s="628"/>
      <x:c r="F53" s="628"/>
      <x:c r="G53" s="628"/>
      <x:c r="H53" s="335"/>
      <x:c r="I53" s="335"/>
      <x:c r="J53" s="335"/>
      <x:c r="K53" s="335"/>
      <x:c r="L53" s="335"/>
      <x:c r="M53" s="335"/>
      <x:c r="N53" s="335"/>
      <x:c r="O53" s="335"/>
    </x:row>
    <x:row r="54" outlineLevel="1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335"/>
      <x:c r="M54" s="335"/>
      <x:c r="N54" s="335"/>
      <x:c r="O54" s="335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  <x:c r="I55" s="335"/>
      <x:c r="J55" s="335"/>
      <x:c r="K55" s="335"/>
      <x:c r="L55" s="335"/>
      <x:c r="M55" s="335"/>
      <x:c r="N55" s="335"/>
      <x:c r="O55" s="335"/>
    </x:row>
  </x:sheetData>
  <x:mergeCells>
    <x:mergeCell ref="A1:G1"/>
    <x:mergeCell ref="A16:G16"/>
    <x:mergeCell ref="A4:G4"/>
    <x:mergeCell ref="A26:G26"/>
    <x:mergeCell ref="A38:G38"/>
  </x:mergeCells>
  <x:conditionalFormatting sqref="B7:G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29:G3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41:G46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51:B53">
    <x:cfRule type="expression" dxfId="32" priority="4">
      <x:formula>B51="OK"</x:formula>
    </x:cfRule>
    <x:cfRule type="expression" dxfId="33" priority="5">
      <x:formula>B51="CHECK"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24" max="24" width="2" hidden="0" customWidth="1"/>
    <x:col min="25" max="25" width="2" hidden="0" customWidth="1"/>
  </x:cols>
  <x:sheetData>
    <x:row r="1" ht="24" customHeight="1">
      <x:c r="A1" s="475" t="str">
        <x:v>Comparable Company Valuation</x:v>
      </x:c>
      <x:c r="B1" s="475"/>
      <x:c r="C1" s="475"/>
      <x:c r="D1" s="475"/>
      <x:c r="E1" s="475"/>
      <x:c r="F1" s="475"/>
      <x:c r="G1" s="475"/>
      <x:c r="H1" s="475"/>
      <x:c r="I1" s="475"/>
      <x:c r="J1" s="475"/>
      <x:c r="K1" s="335"/>
      <x:c r="L1" s="628"/>
      <x:c r="M1" s="628"/>
      <x:c r="N1" s="628"/>
      <x:c r="O1" s="628"/>
      <x:c r="P1" s="628"/>
      <x:c r="Q1" s="628"/>
      <x:c r="R1" s="628"/>
      <x:c r="S1" s="628"/>
      <x:c r="T1" s="628"/>
      <x:c r="U1" s="628"/>
      <x:c r="X1" s="778"/>
      <x:c r="Y1" s="77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421"/>
      <x:c r="K2" s="335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X2" s="778" t="str">
        <x:v>Method</x:v>
      </x:c>
      <x:c r="Y2" s="778" t="str">
        <x:v>Implied Price</x:v>
      </x:c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335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X3" s="778" t="str">
        <x:v>EV / Revenue</x:v>
      </x:c>
      <x:c r="Y3" s="1035" t="n">
        <x:f>H24</x:f>
      </x:c>
    </x:row>
    <x:row r="4">
      <x:c r="A4" s="333" t="str">
        <x:v>Trading Comparables</x:v>
      </x:c>
      <x:c r="B4" s="333"/>
      <x:c r="C4" s="333"/>
      <x:c r="D4" s="333"/>
      <x:c r="E4" s="333"/>
      <x:c r="F4" s="333"/>
      <x:c r="G4" s="333"/>
      <x:c r="H4" s="333"/>
      <x:c r="I4" s="333"/>
      <x:c r="J4" s="333"/>
      <x:c r="K4" s="335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X4" s="778" t="str">
        <x:v>EV / EBITDA</x:v>
      </x:c>
      <x:c r="Y4" s="1035" t="n">
        <x:f>H25</x:f>
      </x:c>
    </x:row>
    <x:row r="5" outlineLevel="1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335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X5" s="778" t="str">
        <x:v>P / E</x:v>
      </x:c>
      <x:c r="Y5" s="1035" t="n">
        <x:f>H26</x:f>
      </x:c>
    </x:row>
    <x:row r="6" outlineLevel="1">
      <x:c r="A6" s="992" t="str">
        <x:v>Company</x:v>
      </x:c>
      <x:c r="B6" s="992" t="str">
        <x:v>EV</x:v>
      </x:c>
      <x:c r="C6" s="992" t="str">
        <x:v>Revenue</x:v>
      </x:c>
      <x:c r="D6" s="992" t="str">
        <x:v>EBITDA</x:v>
      </x:c>
      <x:c r="E6" s="992" t="str">
        <x:v>Net Income</x:v>
      </x:c>
      <x:c r="F6" s="992" t="str">
        <x:v>EV/Revenue</x:v>
      </x:c>
      <x:c r="G6" s="992" t="str">
        <x:v>EV/EBITDA</x:v>
      </x:c>
      <x:c r="H6" s="992" t="str">
        <x:v>P/E</x:v>
      </x:c>
      <x:c r="I6" s="992" t="str">
        <x:v>Region</x:v>
      </x:c>
      <x:c r="J6" s="992" t="str">
        <x:v>Note</x:v>
      </x:c>
      <x:c r="K6" s="335"/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X6" s="778" t="str">
        <x:v>Median</x:v>
      </x:c>
      <x:c r="Y6" s="1035" t="n">
        <x:f>H27</x:f>
      </x:c>
    </x:row>
    <x:row r="7" outlineLevel="1">
      <x:c r="A7" s="810" t="str">
        <x:v>Peer Alpha</x:v>
      </x:c>
      <x:c r="B7" s="1147" t="n">
        <x:v>150000</x:v>
      </x:c>
      <x:c r="C7" s="1147" t="n">
        <x:v>70000</x:v>
      </x:c>
      <x:c r="D7" s="1147" t="n">
        <x:v>18000</x:v>
      </x:c>
      <x:c r="E7" s="1147" t="n">
        <x:v>10500</x:v>
      </x:c>
      <x:c r="F7" s="1148" t="n">
        <x:f>B7/C7</x:f>
      </x:c>
      <x:c r="G7" s="1148" t="n">
        <x:f>B7/D7</x:f>
      </x:c>
      <x:c r="H7" s="1148" t="n">
        <x:f>B7/E7</x:f>
      </x:c>
      <x:c r="I7" s="810" t="str">
        <x:v>UK</x:v>
      </x:c>
      <x:c r="J7" s="810" t="str">
        <x:v>Illustrative</x:v>
      </x:c>
      <x:c r="K7" s="335"/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X7" s="778"/>
      <x:c r="Y7" s="778"/>
    </x:row>
    <x:row r="8" outlineLevel="1">
      <x:c r="A8" s="810" t="str">
        <x:v>Peer Beta</x:v>
      </x:c>
      <x:c r="B8" s="1147" t="n">
        <x:v>180000</x:v>
      </x:c>
      <x:c r="C8" s="1147" t="n">
        <x:v>82000</x:v>
      </x:c>
      <x:c r="D8" s="1147" t="n">
        <x:v>20500</x:v>
      </x:c>
      <x:c r="E8" s="1147" t="n">
        <x:v>11800</x:v>
      </x:c>
      <x:c r="F8" s="1148" t="n">
        <x:f>B8/C8</x:f>
      </x:c>
      <x:c r="G8" s="1148" t="n">
        <x:f>B8/D8</x:f>
      </x:c>
      <x:c r="H8" s="1148" t="n">
        <x:f>B8/E8</x:f>
      </x:c>
      <x:c r="I8" s="810" t="str">
        <x:v>US</x:v>
      </x:c>
      <x:c r="J8" s="810" t="str">
        <x:v>Illustrative</x:v>
      </x:c>
      <x:c r="K8" s="335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X8" s="778"/>
      <x:c r="Y8" s="778"/>
    </x:row>
    <x:row r="9" outlineLevel="1">
      <x:c r="A9" s="810" t="str">
        <x:v>Peer Gamma</x:v>
      </x:c>
      <x:c r="B9" s="1147" t="n">
        <x:v>130000</x:v>
      </x:c>
      <x:c r="C9" s="1147" t="n">
        <x:v>61000</x:v>
      </x:c>
      <x:c r="D9" s="1147" t="n">
        <x:v>15500</x:v>
      </x:c>
      <x:c r="E9" s="1147" t="n">
        <x:v>9000</x:v>
      </x:c>
      <x:c r="F9" s="1148" t="n">
        <x:f>B9/C9</x:f>
      </x:c>
      <x:c r="G9" s="1148" t="n">
        <x:f>B9/D9</x:f>
      </x:c>
      <x:c r="H9" s="1148" t="n">
        <x:f>B9/E9</x:f>
      </x:c>
      <x:c r="I9" s="810" t="str">
        <x:v>EU</x:v>
      </x:c>
      <x:c r="J9" s="810" t="str">
        <x:v>Illustrative</x:v>
      </x:c>
      <x:c r="K9" s="335"/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</x:row>
    <x:row r="10" outlineLevel="1">
      <x:c r="A10" s="810" t="str">
        <x:v>Peer Delta</x:v>
      </x:c>
      <x:c r="B10" s="1147" t="n">
        <x:v>210000</x:v>
      </x:c>
      <x:c r="C10" s="1147" t="n">
        <x:v>95000</x:v>
      </x:c>
      <x:c r="D10" s="1147" t="n">
        <x:v>23000</x:v>
      </x:c>
      <x:c r="E10" s="1147" t="n">
        <x:v>13200</x:v>
      </x:c>
      <x:c r="F10" s="1148" t="n">
        <x:f>B10/C10</x:f>
      </x:c>
      <x:c r="G10" s="1148" t="n">
        <x:f>B10/D10</x:f>
      </x:c>
      <x:c r="H10" s="1148" t="n">
        <x:f>B10/E10</x:f>
      </x:c>
      <x:c r="I10" s="810" t="str">
        <x:v>US</x:v>
      </x:c>
      <x:c r="J10" s="810" t="str">
        <x:v>Illustrative</x:v>
      </x:c>
      <x:c r="K10" s="335"/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</x:row>
    <x:row r="11" outlineLevel="1">
      <x:c r="A11" s="810"/>
      <x:c r="B11" s="810"/>
      <x:c r="C11" s="810"/>
      <x:c r="D11" s="810"/>
      <x:c r="E11" s="810"/>
      <x:c r="F11" s="810"/>
      <x:c r="G11" s="810"/>
      <x:c r="H11" s="810"/>
      <x:c r="I11" s="810"/>
      <x:c r="J11" s="810"/>
      <x:c r="K11" s="335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</x:row>
    <x:row r="12" outlineLevel="1">
      <x:c r="A12" s="810" t="str">
        <x:v>Statistic</x:v>
      </x:c>
      <x:c r="B12" s="810"/>
      <x:c r="C12" s="810"/>
      <x:c r="D12" s="810"/>
      <x:c r="E12" s="810"/>
      <x:c r="F12" s="810" t="str">
        <x:v>EV/Revenue</x:v>
      </x:c>
      <x:c r="G12" s="810" t="str">
        <x:v>EV/EBITDA</x:v>
      </x:c>
      <x:c r="H12" s="810" t="str">
        <x:v>P/E</x:v>
      </x:c>
      <x:c r="I12" s="810"/>
      <x:c r="J12" s="810"/>
      <x:c r="K12" s="335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</x:row>
    <x:row r="13" outlineLevel="1">
      <x:c r="A13" s="810" t="str">
        <x:v>Median</x:v>
      </x:c>
      <x:c r="B13" s="810"/>
      <x:c r="C13" s="810"/>
      <x:c r="D13" s="810"/>
      <x:c r="E13" s="810"/>
      <x:c r="F13" s="1148" t="n">
        <x:f>MEDIAN(F7:F10)</x:f>
      </x:c>
      <x:c r="G13" s="1148" t="n">
        <x:f>MEDIAN(G7:G10)</x:f>
      </x:c>
      <x:c r="H13" s="1148" t="n">
        <x:f>MEDIAN(H7:H10)</x:f>
      </x:c>
      <x:c r="I13" s="810"/>
      <x:c r="J13" s="810"/>
      <x:c r="K13" s="335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</x:row>
    <x:row r="14" outlineLevel="1">
      <x:c r="A14" s="810" t="str">
        <x:v>Mean</x:v>
      </x:c>
      <x:c r="B14" s="810"/>
      <x:c r="C14" s="810"/>
      <x:c r="D14" s="810"/>
      <x:c r="E14" s="810"/>
      <x:c r="F14" s="1148" t="n">
        <x:f>AVERAGE(F7:F10)</x:f>
      </x:c>
      <x:c r="G14" s="1148" t="n">
        <x:f>AVERAGE(G7:G10)</x:f>
      </x:c>
      <x:c r="H14" s="1148" t="n">
        <x:f>AVERAGE(H7:H10)</x:f>
      </x:c>
      <x:c r="I14" s="810"/>
      <x:c r="J14" s="810"/>
      <x:c r="K14" s="335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</x:row>
    <x:row r="15" outlineLevel="1">
      <x:c r="A15" s="810" t="str">
        <x:v>Statistic</x:v>
      </x:c>
      <x:c r="B15" s="810"/>
      <x:c r="C15" s="810"/>
      <x:c r="D15" s="810"/>
      <x:c r="E15" s="810"/>
      <x:c r="F15" s="810" t="str">
        <x:v>EV/Revenue</x:v>
      </x:c>
      <x:c r="G15" s="810" t="str">
        <x:v>EV/EBITDA</x:v>
      </x:c>
      <x:c r="H15" s="810" t="str">
        <x:v>P/E</x:v>
      </x:c>
      <x:c r="I15" s="810"/>
      <x:c r="J15" s="810"/>
      <x:c r="K15" s="335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</x:row>
    <x:row r="16" outlineLevel="1">
      <x:c r="A16" s="810" t="str">
        <x:v>25th Percentile</x:v>
      </x:c>
      <x:c r="B16" s="810"/>
      <x:c r="C16" s="810"/>
      <x:c r="D16" s="810"/>
      <x:c r="E16" s="810"/>
      <x:c r="F16" s="1148" t="n">
        <x:f>QUARTILE(F7:F10,1)</x:f>
      </x:c>
      <x:c r="G16" s="1148" t="n">
        <x:f>QUARTILE(G7:G10,1)</x:f>
      </x:c>
      <x:c r="H16" s="1148" t="n">
        <x:f>QUARTILE(H7:H10,1)</x:f>
      </x:c>
      <x:c r="I16" s="810"/>
      <x:c r="J16" s="810"/>
      <x:c r="K16" s="335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</x:row>
    <x:row r="17" outlineLevel="1">
      <x:c r="A17" s="853" t="str">
        <x:v>Median</x:v>
      </x:c>
      <x:c r="B17" s="853"/>
      <x:c r="C17" s="853"/>
      <x:c r="D17" s="853"/>
      <x:c r="E17" s="853"/>
      <x:c r="F17" s="1149" t="n">
        <x:f>MEDIAN(F7:F10)</x:f>
      </x:c>
      <x:c r="G17" s="1149" t="n">
        <x:f>MEDIAN(G7:G10)</x:f>
      </x:c>
      <x:c r="H17" s="1149" t="n">
        <x:f>MEDIAN(H7:H10)</x:f>
      </x:c>
      <x:c r="I17" s="810"/>
      <x:c r="J17" s="810"/>
      <x:c r="K17" s="335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</x:row>
    <x:row r="18" outlineLevel="1">
      <x:c r="A18" s="810" t="str">
        <x:v>75th Percentile</x:v>
      </x:c>
      <x:c r="B18" s="878"/>
      <x:c r="C18" s="878"/>
      <x:c r="D18" s="878"/>
      <x:c r="E18" s="878"/>
      <x:c r="F18" s="1148" t="n">
        <x:f>QUARTILE(F7:F10,3)</x:f>
      </x:c>
      <x:c r="G18" s="1148" t="n">
        <x:f>QUARTILE(G7:G10,3)</x:f>
      </x:c>
      <x:c r="H18" s="1148" t="n">
        <x:f>QUARTILE(H7:H10,3)</x:f>
      </x:c>
      <x:c r="I18" s="810"/>
      <x:c r="J18" s="810"/>
      <x:c r="K18" s="335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</x:row>
    <x:row r="19" outlineLevel="1">
      <x:c r="A19" s="335" t="str">
        <x:v>Implied EV</x:v>
      </x:c>
      <x:c r="B19" s="1150" t="n">
        <x:f>'03_3_Statement_Model'!D15*G13</x:f>
      </x:c>
      <x:c r="C19" s="398" t="str">
        <x:v>Equity Value</x:v>
      </x:c>
      <x:c r="D19" s="1150" t="n">
        <x:f>B19-'04_DCF_Valuation'!$E$34</x:f>
      </x:c>
      <x:c r="E19" s="398" t="str">
        <x:v>Net Debt</x:v>
      </x:c>
      <x:c r="F19" s="1150" t="n">
        <x:f>'04_DCF_Valuation'!$E$34</x:f>
      </x:c>
      <x:c r="G19" s="335" t="str">
        <x:v>Premium/(Discount)</x:v>
      </x:c>
      <x:c r="H19" s="1151" t="n">
        <x:f>(D19/'01_Inputs_Historicals'!$C$67)/'00_Dashboard'!$B$10-1</x:f>
      </x:c>
      <x:c r="I19" s="335"/>
      <x:c r="J19" s="335"/>
      <x:c r="K19" s="335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</x:row>
    <x:row r="20">
      <x:c r="A20" s="335"/>
      <x:c r="B20" s="335"/>
      <x:c r="C20" s="335"/>
      <x:c r="D20" s="335"/>
      <x:c r="E20" s="335"/>
      <x:c r="F20" s="335"/>
      <x:c r="G20" s="335"/>
      <x:c r="H20" s="335"/>
      <x:c r="I20" s="335"/>
      <x:c r="J20" s="335"/>
      <x:c r="K20" s="335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</x:row>
    <x:row r="21">
      <x:c r="A21" s="333" t="str">
        <x:v>Implied Valuation by Method</x:v>
      </x:c>
      <x:c r="B21" s="333"/>
      <x:c r="C21" s="333"/>
      <x:c r="D21" s="333"/>
      <x:c r="E21" s="333"/>
      <x:c r="F21" s="333"/>
      <x:c r="G21" s="333"/>
      <x:c r="H21" s="333"/>
      <x:c r="I21" s="333"/>
      <x:c r="J21" s="333"/>
      <x:c r="K21" s="335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</x:row>
    <x:row r="22" outlineLevel="1">
      <x:c r="A22" s="335"/>
      <x:c r="B22" s="335"/>
      <x:c r="C22" s="335"/>
      <x:c r="D22" s="335"/>
      <x:c r="E22" s="335"/>
      <x:c r="F22" s="335"/>
      <x:c r="G22" s="335"/>
      <x:c r="H22" s="335"/>
      <x:c r="I22" s="335"/>
      <x:c r="J22" s="335"/>
      <x:c r="K22" s="335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</x:row>
    <x:row r="23" outlineLevel="1">
      <x:c r="A23" s="810" t="str">
        <x:v>Method</x:v>
      </x:c>
      <x:c r="B23" s="810" t="str">
        <x:v>Selected Multiple</x:v>
      </x:c>
      <x:c r="C23" s="810" t="str">
        <x:v>Target Metric</x:v>
      </x:c>
      <x:c r="D23" s="810" t="str">
        <x:v>Implied EV</x:v>
      </x:c>
      <x:c r="E23" s="810" t="str">
        <x:v>Net Debt</x:v>
      </x:c>
      <x:c r="F23" s="810" t="str">
        <x:v>Implied Equity Value</x:v>
      </x:c>
      <x:c r="G23" s="810" t="str">
        <x:v>Shares</x:v>
      </x:c>
      <x:c r="H23" s="810" t="str">
        <x:v>Implied Price</x:v>
      </x:c>
      <x:c r="I23" s="810" t="str">
        <x:v>Current Price</x:v>
      </x:c>
      <x:c r="J23" s="810" t="str">
        <x:v>Premium/(Discount)</x:v>
      </x:c>
      <x:c r="K23" s="335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</x:row>
    <x:row r="24" outlineLevel="1">
      <x:c r="A24" s="810" t="str">
        <x:v>EV / Revenue</x:v>
      </x:c>
      <x:c r="B24" s="1148" t="n">
        <x:f>F17</x:f>
      </x:c>
      <x:c r="C24" s="1094" t="n">
        <x:f>'03_3_Statement_Model'!D8</x:f>
      </x:c>
      <x:c r="D24" s="1089" t="n">
        <x:f>B24*C24</x:f>
      </x:c>
      <x:c r="E24" s="1094" t="n">
        <x:f>'04_DCF_Valuation'!E34</x:f>
      </x:c>
      <x:c r="F24" s="1089" t="n">
        <x:f>D24-E24</x:f>
      </x:c>
      <x:c r="G24" s="1094" t="n">
        <x:f>'01_Inputs_Historicals'!C67</x:f>
      </x:c>
      <x:c r="H24" s="1125" t="n">
        <x:f>F24/G24</x:f>
      </x:c>
      <x:c r="I24" s="1152" t="n">
        <x:f>'00_Dashboard'!B10</x:f>
      </x:c>
      <x:c r="J24" s="1108" t="n">
        <x:f>H24/I24-1</x:f>
      </x:c>
      <x:c r="K24" s="335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</x:row>
    <x:row r="25" outlineLevel="1">
      <x:c r="A25" s="810" t="str">
        <x:v>EV / EBITDA</x:v>
      </x:c>
      <x:c r="B25" s="1148" t="n">
        <x:f>G17</x:f>
      </x:c>
      <x:c r="C25" s="1094" t="n">
        <x:f>'03_3_Statement_Model'!D15</x:f>
      </x:c>
      <x:c r="D25" s="1089" t="n">
        <x:f>B25*C25</x:f>
      </x:c>
      <x:c r="E25" s="1094" t="n">
        <x:f>'04_DCF_Valuation'!E34</x:f>
      </x:c>
      <x:c r="F25" s="1089" t="n">
        <x:f>D25-E25</x:f>
      </x:c>
      <x:c r="G25" s="1094" t="n">
        <x:f>'01_Inputs_Historicals'!C67</x:f>
      </x:c>
      <x:c r="H25" s="1125" t="n">
        <x:f>F25/G25</x:f>
      </x:c>
      <x:c r="I25" s="1152" t="n">
        <x:f>'00_Dashboard'!B10</x:f>
      </x:c>
      <x:c r="J25" s="1108" t="n">
        <x:f>H25/I25-1</x:f>
      </x:c>
      <x:c r="K25" s="335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</x:row>
    <x:row r="26" outlineLevel="1">
      <x:c r="A26" s="810" t="str">
        <x:v>P / E</x:v>
      </x:c>
      <x:c r="B26" s="1148" t="n">
        <x:f>H17</x:f>
      </x:c>
      <x:c r="C26" s="1094" t="n">
        <x:f>'03_3_Statement_Model'!D26</x:f>
      </x:c>
      <x:c r="D26" s="878"/>
      <x:c r="E26" s="878"/>
      <x:c r="F26" s="1089" t="n">
        <x:f>B26*C26</x:f>
      </x:c>
      <x:c r="G26" s="1094" t="n">
        <x:f>'01_Inputs_Historicals'!C67</x:f>
      </x:c>
      <x:c r="H26" s="1125" t="n">
        <x:f>F26/G26</x:f>
      </x:c>
      <x:c r="I26" s="1152" t="n">
        <x:f>'00_Dashboard'!B10</x:f>
      </x:c>
      <x:c r="J26" s="1108" t="n">
        <x:f>H26/I26-1</x:f>
      </x:c>
      <x:c r="K26" s="335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</x:row>
    <x:row r="27" outlineLevel="1">
      <x:c r="A27" s="810" t="str">
        <x:v>Selected / Median</x:v>
      </x:c>
      <x:c r="B27" s="810"/>
      <x:c r="C27" s="878"/>
      <x:c r="D27" s="878"/>
      <x:c r="E27" s="878"/>
      <x:c r="F27" s="878"/>
      <x:c r="G27" s="878"/>
      <x:c r="H27" s="1125" t="n">
        <x:f>MEDIAN(H24:H26)</x:f>
      </x:c>
      <x:c r="I27" s="1152" t="n">
        <x:f>'00_Dashboard'!B10</x:f>
      </x:c>
      <x:c r="J27" s="1108" t="n">
        <x:f>H27/I27-1</x:f>
      </x:c>
      <x:c r="K27" s="335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</x:row>
    <x:row r="28" outlineLevel="1">
      <x:c r="A28" s="335"/>
      <x:c r="B28" s="335"/>
      <x:c r="C28" s="335"/>
      <x:c r="D28" s="335"/>
      <x:c r="E28" s="335"/>
      <x:c r="F28" s="335"/>
      <x:c r="G28" s="335"/>
      <x:c r="H28" s="335"/>
      <x:c r="I28" s="335"/>
      <x:c r="J28" s="335"/>
      <x:c r="K28" s="335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335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335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</x:row>
    <x:row r="31">
      <x:c r="A31" s="810" t="str">
        <x:v>Comparable Valuation Checks</x:v>
      </x:c>
      <x:c r="B31" s="810"/>
      <x:c r="C31" s="335"/>
      <x:c r="D31" s="335"/>
      <x:c r="E31" s="335"/>
      <x:c r="F31" s="335"/>
      <x:c r="G31" s="335"/>
      <x:c r="H31" s="335"/>
      <x:c r="I31" s="335"/>
      <x:c r="J31" s="335"/>
      <x:c r="K31" s="335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</x:row>
    <x:row r="32" outlineLevel="1">
      <x:c r="A32" s="810" t="str">
        <x:v>Peer Multiples Positive</x:v>
      </x:c>
      <x:c r="B32" s="810" t="str">
        <x:f>IF(MIN(F7:H10)&gt;0,"OK","CHECK")</x:f>
      </x:c>
      <x:c r="C32" s="335"/>
      <x:c r="D32" s="335"/>
      <x:c r="E32" s="335"/>
      <x:c r="F32" s="335"/>
      <x:c r="G32" s="335"/>
      <x:c r="H32" s="335"/>
      <x:c r="I32" s="335"/>
      <x:c r="J32" s="335"/>
      <x:c r="K32" s="335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</x:row>
    <x:row r="33" outlineLevel="1">
      <x:c r="A33" s="810" t="str">
        <x:v>Median Within Quartiles</x:v>
      </x:c>
      <x:c r="B33" s="810" t="str">
        <x:f>IF(AND(F17&gt;=F16,F17&lt;=F18,G17&gt;=G16,G17&lt;=G18,H17&gt;=H16,H17&lt;=H18),"OK","CHECK")</x:f>
      </x:c>
      <x:c r="C33" s="335"/>
      <x:c r="D33" s="335"/>
      <x:c r="E33" s="335"/>
      <x:c r="F33" s="335"/>
      <x:c r="G33" s="335"/>
      <x:c r="H33" s="335"/>
      <x:c r="I33" s="335"/>
      <x:c r="J33" s="335"/>
      <x:c r="K33" s="335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</x:row>
    <x:row r="34" outlineLevel="1">
      <x:c r="A34" s="810" t="str">
        <x:v>Implied Prices Positive</x:v>
      </x:c>
      <x:c r="B34" s="810" t="str">
        <x:f>IF(MIN(H24:H27)&gt;0,"OK","CHECK")</x:f>
      </x:c>
      <x:c r="C34" s="335"/>
      <x:c r="D34" s="335"/>
      <x:c r="E34" s="335"/>
      <x:c r="F34" s="335"/>
      <x:c r="G34" s="335"/>
      <x:c r="H34" s="335"/>
      <x:c r="I34" s="335"/>
      <x:c r="J34" s="335"/>
      <x:c r="K34" s="335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</x:row>
    <x:row r="35" outlineLevel="1">
      <x:c r="A35" s="335"/>
      <x:c r="B35" s="335"/>
      <x:c r="C35" s="335"/>
      <x:c r="D35" s="335"/>
      <x:c r="E35" s="335"/>
      <x:c r="F35" s="335"/>
      <x:c r="G35" s="335"/>
      <x:c r="H35" s="335"/>
      <x:c r="I35" s="335"/>
      <x:c r="J35" s="335"/>
      <x:c r="K35" s="335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</x:row>
    <x:row r="36" outlineLevel="1">
      <x:c r="A36" s="335"/>
      <x:c r="B36" s="335"/>
      <x:c r="C36" s="335"/>
      <x:c r="D36" s="335"/>
      <x:c r="E36" s="335"/>
      <x:c r="F36" s="335"/>
      <x:c r="G36" s="335"/>
      <x:c r="H36" s="335"/>
      <x:c r="I36" s="335"/>
      <x:c r="J36" s="335"/>
      <x:c r="K36" s="335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</x:row>
    <x:row r="37">
      <x:c r="A37" s="335"/>
      <x:c r="B37" s="335"/>
      <x:c r="C37" s="335"/>
      <x:c r="D37" s="335"/>
      <x:c r="E37" s="335"/>
      <x:c r="F37" s="335"/>
      <x:c r="G37" s="335"/>
      <x:c r="H37" s="335"/>
      <x:c r="I37" s="335"/>
      <x:c r="J37" s="335"/>
      <x:c r="K37" s="335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</x:row>
    <x:row r="38">
      <x:c r="A38" s="604" t="str">
        <x:v>Precedent Transaction Analysis</x:v>
      </x:c>
      <x:c r="B38" s="604"/>
      <x:c r="C38" s="604"/>
      <x:c r="D38" s="604"/>
      <x:c r="E38" s="604"/>
      <x:c r="F38" s="604"/>
      <x:c r="G38" s="604"/>
      <x:c r="H38" s="604"/>
      <x:c r="I38" s="604"/>
      <x:c r="J38" s="604"/>
      <x:c r="K38" s="335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335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</x:row>
    <x:row r="40" outlineLevel="1">
      <x:c r="A40" s="924" t="str">
        <x:v>Announcement Date</x:v>
      </x:c>
      <x:c r="B40" s="924" t="str">
        <x:v>Acquirer</x:v>
      </x:c>
      <x:c r="C40" s="924" t="str">
        <x:v>Target</x:v>
      </x:c>
      <x:c r="D40" s="924" t="str">
        <x:v>Offer Price</x:v>
      </x:c>
      <x:c r="E40" s="924" t="str">
        <x:v>Premium Paid</x:v>
      </x:c>
      <x:c r="F40" s="924" t="str">
        <x:v>Transaction Value</x:v>
      </x:c>
      <x:c r="G40" s="924" t="str">
        <x:v>LTM EBITDA</x:v>
      </x:c>
      <x:c r="H40" s="924" t="str">
        <x:v>EV/EBITDA</x:v>
      </x:c>
      <x:c r="I40" s="924" t="str">
        <x:v>LTM EPS</x:v>
      </x:c>
      <x:c r="J40" s="924" t="str">
        <x:v>P/E</x:v>
      </x:c>
      <x:c r="K40" s="335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</x:row>
    <x:row r="41" outlineLevel="1">
      <x:c r="A41" s="994" t="str">
        <x:v>2023-07-05</x:v>
      </x:c>
      <x:c r="B41" s="994" t="str">
        <x:v>Nature's Choice</x:v>
      </x:c>
      <x:c r="C41" s="994" t="str">
        <x:v>Golden Pantry</x:v>
      </x:c>
      <x:c r="D41" s="1153" t="n">
        <x:v>5.5</x:v>
      </x:c>
      <x:c r="E41" s="1154" t="n">
        <x:v>0.2443</x:v>
      </x:c>
      <x:c r="F41" s="1155" t="n">
        <x:v>16974.25</x:v>
      </x:c>
      <x:c r="G41" s="1155" t="n">
        <x:v>3450</x:v>
      </x:c>
      <x:c r="H41" s="1156" t="n">
        <x:v>4.9201</x:v>
      </x:c>
      <x:c r="I41" s="1157" t="n">
        <x:v>0.5462</x:v>
      </x:c>
      <x:c r="J41" s="1156" t="n">
        <x:v>10.0688</x:v>
      </x:c>
      <x:c r="K41" s="335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</x:row>
    <x:row r="42" outlineLevel="1">
      <x:c r="A42" s="994" t="str">
        <x:v>2024-03-06</x:v>
      </x:c>
      <x:c r="B42" s="994" t="str">
        <x:v>Pure Pantry</x:v>
      </x:c>
      <x:c r="C42" s="994" t="str">
        <x:v>Fresh Eats</x:v>
      </x:c>
      <x:c r="D42" s="1153" t="n">
        <x:v>43.12</x:v>
      </x:c>
      <x:c r="E42" s="1154" t="n">
        <x:v>0.256</x:v>
      </x:c>
      <x:c r="F42" s="1155" t="n">
        <x:v>34621</x:v>
      </x:c>
      <x:c r="G42" s="1155" t="n">
        <x:v>6355</x:v>
      </x:c>
      <x:c r="H42" s="1156" t="n">
        <x:v>5.4478</x:v>
      </x:c>
      <x:c r="I42" s="1157" t="n">
        <x:v>4.56</x:v>
      </x:c>
      <x:c r="J42" s="1156" t="n">
        <x:v>9.4561</x:v>
      </x:c>
      <x:c r="K42" s="335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</x:row>
    <x:row r="43" outlineLevel="1">
      <x:c r="A43" s="994" t="str">
        <x:v>2023-12-17</x:v>
      </x:c>
      <x:c r="B43" s="994" t="str">
        <x:v>World Fare Market</x:v>
      </x:c>
      <x:c r="C43" s="994" t="str">
        <x:v>Fresh Market</x:v>
      </x:c>
      <x:c r="D43" s="1153" t="n">
        <x:v>19.8</x:v>
      </x:c>
      <x:c r="E43" s="1154" t="n">
        <x:v>0.22</x:v>
      </x:c>
      <x:c r="F43" s="1155" t="n">
        <x:v>32671</x:v>
      </x:c>
      <x:c r="G43" s="1155" t="n">
        <x:v>4521</x:v>
      </x:c>
      <x:c r="H43" s="1156" t="n">
        <x:v>7.2265</x:v>
      </x:c>
      <x:c r="I43" s="1157" t="n">
        <x:v>1.94</x:v>
      </x:c>
      <x:c r="J43" s="1156" t="n">
        <x:v>10.2062</x:v>
      </x:c>
      <x:c r="K43" s="335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</x:row>
    <x:row r="44" outlineLevel="1">
      <x:c r="A44" s="994" t="str">
        <x:v>2023-11-13</x:v>
      </x:c>
      <x:c r="B44" s="994" t="str">
        <x:v>Harvest Basket</x:v>
      </x:c>
      <x:c r="C44" s="994" t="str">
        <x:v>Global Cuisine</x:v>
      </x:c>
      <x:c r="D44" s="1153" t="n">
        <x:v>48.97</x:v>
      </x:c>
      <x:c r="E44" s="1154" t="n">
        <x:v>0.285</x:v>
      </x:c>
      <x:c r="F44" s="1155" t="n">
        <x:v>37543</x:v>
      </x:c>
      <x:c r="G44" s="1155" t="n">
        <x:v>7124</x:v>
      </x:c>
      <x:c r="H44" s="1156" t="n">
        <x:v>5.2699</x:v>
      </x:c>
      <x:c r="I44" s="1157" t="n">
        <x:v>4.52</x:v>
      </x:c>
      <x:c r="J44" s="1156" t="n">
        <x:v>10.8341</x:v>
      </x:c>
      <x:c r="K44" s="335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</x:row>
    <x:row r="45" outlineLevel="1">
      <x:c r="A45" s="994" t="str">
        <x:v>2020-02-18</x:v>
      </x:c>
      <x:c r="B45" s="994" t="str">
        <x:v>Country Harvest</x:v>
      </x:c>
      <x:c r="C45" s="994" t="str">
        <x:v>QuickStop Market</x:v>
      </x:c>
      <x:c r="D45" s="1153" t="n">
        <x:v>16.75</x:v>
      </x:c>
      <x:c r="E45" s="1154" t="n">
        <x:v>0.205</x:v>
      </x:c>
      <x:c r="F45" s="1155" t="n">
        <x:v>25876</x:v>
      </x:c>
      <x:c r="G45" s="1155" t="n">
        <x:v>3566</x:v>
      </x:c>
      <x:c r="H45" s="1156" t="n">
        <x:v>7.2563</x:v>
      </x:c>
      <x:c r="I45" s="1157" t="n">
        <x:v>1.2</x:v>
      </x:c>
      <x:c r="J45" s="1156" t="n">
        <x:v>13.9583</x:v>
      </x:c>
      <x:c r="K45" s="335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</x:row>
    <x:row r="46" outlineLevel="1">
      <x:c r="A46" s="810"/>
      <x:c r="B46" s="810"/>
      <x:c r="C46" s="810"/>
      <x:c r="D46" s="810"/>
      <x:c r="E46" s="810"/>
      <x:c r="F46" s="810"/>
      <x:c r="G46" s="810"/>
      <x:c r="H46" s="810"/>
      <x:c r="I46" s="810"/>
      <x:c r="J46" s="810"/>
      <x:c r="K46" s="335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</x:row>
    <x:row r="47" outlineLevel="1">
      <x:c r="A47" s="810"/>
      <x:c r="B47" s="810"/>
      <x:c r="C47" s="810"/>
      <x:c r="D47" s="810"/>
      <x:c r="E47" s="810"/>
      <x:c r="F47" s="810"/>
      <x:c r="G47" s="810"/>
      <x:c r="H47" s="810"/>
      <x:c r="I47" s="810"/>
      <x:c r="J47" s="810"/>
      <x:c r="K47" s="335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</x:row>
    <x:row r="48" outlineLevel="1">
      <x:c r="A48" s="810" t="str">
        <x:v>Statistic</x:v>
      </x:c>
      <x:c r="B48" s="810"/>
      <x:c r="C48" s="810"/>
      <x:c r="D48" s="810"/>
      <x:c r="E48" s="810"/>
      <x:c r="F48" s="810"/>
      <x:c r="G48" s="810" t="str">
        <x:v>EV/EBITDA</x:v>
      </x:c>
      <x:c r="H48" s="810" t="str">
        <x:v>P/E</x:v>
      </x:c>
      <x:c r="I48" s="810"/>
      <x:c r="J48" s="810"/>
      <x:c r="K48" s="335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</x:row>
    <x:row r="49" outlineLevel="1">
      <x:c r="A49" s="810" t="str">
        <x:v>Minimum</x:v>
      </x:c>
      <x:c r="B49" s="810"/>
      <x:c r="C49" s="810"/>
      <x:c r="D49" s="810"/>
      <x:c r="E49" s="810"/>
      <x:c r="F49" s="810"/>
      <x:c r="G49" s="1148" t="n">
        <x:f>MIN(H41:H45)</x:f>
      </x:c>
      <x:c r="H49" s="1148" t="n">
        <x:f>MIN(J41:J45)</x:f>
      </x:c>
      <x:c r="I49" s="810"/>
      <x:c r="J49" s="810"/>
      <x:c r="K49" s="335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</x:row>
    <x:row r="50" outlineLevel="1">
      <x:c r="A50" s="810" t="str">
        <x:v>25th Percentile</x:v>
      </x:c>
      <x:c r="B50" s="810"/>
      <x:c r="C50" s="810"/>
      <x:c r="D50" s="810"/>
      <x:c r="E50" s="810"/>
      <x:c r="F50" s="810"/>
      <x:c r="G50" s="1148" t="n">
        <x:f>QUARTILE(H41:H45,1)</x:f>
      </x:c>
      <x:c r="H50" s="1148" t="n">
        <x:f>QUARTILE(J41:J45,1)</x:f>
      </x:c>
      <x:c r="I50" s="810"/>
      <x:c r="J50" s="810"/>
      <x:c r="K50" s="335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</x:row>
    <x:row r="51" outlineLevel="1">
      <x:c r="A51" s="810" t="str">
        <x:v>Median</x:v>
      </x:c>
      <x:c r="B51" s="810"/>
      <x:c r="C51" s="810"/>
      <x:c r="D51" s="810"/>
      <x:c r="E51" s="810"/>
      <x:c r="F51" s="810"/>
      <x:c r="G51" s="1148" t="n">
        <x:f>MEDIAN(H41:H45)</x:f>
      </x:c>
      <x:c r="H51" s="1148" t="n">
        <x:f>MEDIAN(J41:J45)</x:f>
      </x:c>
      <x:c r="I51" s="810"/>
      <x:c r="J51" s="810"/>
      <x:c r="K51" s="335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</x:row>
    <x:row r="52" outlineLevel="1">
      <x:c r="A52" s="810" t="str">
        <x:v>75th Percentile</x:v>
      </x:c>
      <x:c r="B52" s="810"/>
      <x:c r="C52" s="810"/>
      <x:c r="D52" s="810"/>
      <x:c r="E52" s="810"/>
      <x:c r="F52" s="810"/>
      <x:c r="G52" s="1148" t="n">
        <x:f>QUARTILE(H41:H45,3)</x:f>
      </x:c>
      <x:c r="H52" s="1148" t="n">
        <x:f>QUARTILE(J41:J45,3)</x:f>
      </x:c>
      <x:c r="I52" s="810"/>
      <x:c r="J52" s="810"/>
      <x:c r="K52" s="335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335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</x:row>
    <x:row r="54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</x:row>
    <x:row r="55">
      <x:c r="A55" s="604" t="str">
        <x:v>Target Valuation from Precedent Transactions</x:v>
      </x:c>
      <x:c r="B55" s="604"/>
      <x:c r="C55" s="604"/>
      <x:c r="D55" s="604"/>
      <x:c r="E55" s="604"/>
      <x:c r="F55" s="604"/>
      <x:c r="G55" s="604"/>
      <x:c r="H55" s="604"/>
      <x:c r="I55" s="604"/>
      <x:c r="J55" s="604"/>
      <x:c r="K55" s="335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  <x:c r="I56" s="335"/>
      <x:c r="J56" s="335"/>
      <x:c r="K56" s="335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</x:row>
    <x:row r="57" outlineLevel="1">
      <x:c r="A57" s="810" t="str">
        <x:v>Method</x:v>
      </x:c>
      <x:c r="B57" s="810" t="str">
        <x:v>Selected Multiple</x:v>
      </x:c>
      <x:c r="C57" s="810" t="str">
        <x:v>Target Metric</x:v>
      </x:c>
      <x:c r="D57" s="810" t="str">
        <x:v>Implied EV</x:v>
      </x:c>
      <x:c r="E57" s="810" t="str">
        <x:v>Net Debt</x:v>
      </x:c>
      <x:c r="F57" s="810" t="str">
        <x:v>Implied Equity</x:v>
      </x:c>
      <x:c r="G57" s="810" t="str">
        <x:v>Shares</x:v>
      </x:c>
      <x:c r="H57" s="810" t="str">
        <x:v>Implied Price</x:v>
      </x:c>
      <x:c r="I57" s="810" t="str">
        <x:v>Current Price</x:v>
      </x:c>
      <x:c r="J57" s="810" t="str">
        <x:v>Premium/(Discount)</x:v>
      </x:c>
      <x:c r="K57" s="335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</x:row>
    <x:row r="58" outlineLevel="1">
      <x:c r="A58" s="810" t="str">
        <x:v>LTM EV / EBITDA</x:v>
      </x:c>
      <x:c r="B58" s="1148" t="n">
        <x:f>G51</x:f>
      </x:c>
      <x:c r="C58" s="1094" t="n">
        <x:f>'03_3_Statement_Model'!D15</x:f>
      </x:c>
      <x:c r="D58" s="1089" t="n">
        <x:f>B58*C58</x:f>
      </x:c>
      <x:c r="E58" s="1094" t="n">
        <x:f>'04_DCF_Valuation'!E34</x:f>
      </x:c>
      <x:c r="F58" s="1089" t="n">
        <x:f>D58-E58</x:f>
      </x:c>
      <x:c r="G58" s="1094" t="n">
        <x:f>'01_Inputs_Historicals'!C67</x:f>
      </x:c>
      <x:c r="H58" s="1125" t="n">
        <x:f>F58/G58</x:f>
      </x:c>
      <x:c r="I58" s="1152" t="n">
        <x:f>'00_Dashboard'!B10</x:f>
      </x:c>
      <x:c r="J58" s="1108" t="n">
        <x:f>H58/I58-1</x:f>
      </x:c>
      <x:c r="K58" s="335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</x:row>
    <x:row r="59" outlineLevel="1">
      <x:c r="A59" s="810" t="str">
        <x:v>LTM P / E</x:v>
      </x:c>
      <x:c r="B59" s="1148" t="n">
        <x:f>H51</x:f>
      </x:c>
      <x:c r="C59" s="1094" t="n">
        <x:f>'03_3_Statement_Model'!D26</x:f>
      </x:c>
      <x:c r="D59" s="878"/>
      <x:c r="E59" s="878"/>
      <x:c r="F59" s="1089" t="n">
        <x:f>B59*C59</x:f>
      </x:c>
      <x:c r="G59" s="1094" t="n">
        <x:f>'01_Inputs_Historicals'!C67</x:f>
      </x:c>
      <x:c r="H59" s="1125" t="n">
        <x:f>F59/G59</x:f>
      </x:c>
      <x:c r="I59" s="1152" t="n">
        <x:f>'00_Dashboard'!B10</x:f>
      </x:c>
      <x:c r="J59" s="1108" t="n">
        <x:f>H59/I59-1</x:f>
      </x:c>
      <x:c r="K59" s="335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</x:row>
    <x:row r="60" outlineLevel="1">
      <x:c r="A60" s="810" t="str">
        <x:v>Median Transaction Value</x:v>
      </x:c>
      <x:c r="B60" s="810"/>
      <x:c r="C60" s="878"/>
      <x:c r="D60" s="878"/>
      <x:c r="E60" s="878"/>
      <x:c r="F60" s="878"/>
      <x:c r="G60" s="878"/>
      <x:c r="H60" s="1125" t="n">
        <x:f>MEDIAN(H58:H59)</x:f>
      </x:c>
      <x:c r="I60" s="1152" t="n">
        <x:f>'00_Dashboard'!B10</x:f>
      </x:c>
      <x:c r="J60" s="1108" t="n">
        <x:f>H60/I60-1</x:f>
      </x:c>
      <x:c r="K60" s="335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</x:row>
    <x:row r="61" outlineLevel="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335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</x:row>
    <x:row r="62" outlineLevel="1">
      <x:c r="A62" s="335"/>
      <x:c r="B62" s="335"/>
      <x:c r="C62" s="335"/>
      <x:c r="D62" s="335"/>
      <x:c r="E62" s="335"/>
      <x:c r="F62" s="335"/>
      <x:c r="G62" s="335"/>
      <x:c r="H62" s="335"/>
      <x:c r="I62" s="335"/>
      <x:c r="J62" s="335"/>
      <x:c r="K62" s="335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</x:row>
    <x:row r="63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335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</x:row>
    <x:row r="64">
      <x:c r="A64" s="604" t="str">
        <x:v>Football Field Valuation</x:v>
      </x:c>
      <x:c r="B64" s="604"/>
      <x:c r="C64" s="604"/>
      <x:c r="D64" s="604"/>
      <x:c r="E64" s="604"/>
      <x:c r="F64" s="604"/>
      <x:c r="G64" s="604"/>
      <x:c r="H64" s="604"/>
      <x:c r="I64" s="604"/>
      <x:c r="J64" s="604"/>
      <x:c r="K64" s="335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</x:row>
    <x:row r="65" outlineLevel="1">
      <x:c r="A65" s="335"/>
      <x:c r="B65" s="335"/>
      <x:c r="C65" s="335"/>
      <x:c r="D65" s="335"/>
      <x:c r="E65" s="335"/>
      <x:c r="F65" s="335"/>
      <x:c r="G65" s="335"/>
      <x:c r="H65" s="335"/>
      <x:c r="I65" s="335"/>
      <x:c r="J65" s="335"/>
      <x:c r="K65" s="335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</x:row>
    <x:row r="66" outlineLevel="1">
      <x:c r="A66" s="810" t="str">
        <x:v>Method</x:v>
      </x:c>
      <x:c r="B66" s="810" t="str">
        <x:v>Low</x:v>
      </x:c>
      <x:c r="C66" s="810" t="str">
        <x:v>Mid</x:v>
      </x:c>
      <x:c r="D66" s="810" t="str">
        <x:v>High</x:v>
      </x:c>
      <x:c r="E66" s="335"/>
      <x:c r="F66" s="335"/>
      <x:c r="G66" s="335"/>
      <x:c r="H66" s="335"/>
      <x:c r="I66" s="335"/>
      <x:c r="J66" s="335"/>
      <x:c r="K66" s="335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</x:row>
    <x:row r="67" outlineLevel="1">
      <x:c r="A67" s="810" t="str">
        <x:v>Trading Comparables</x:v>
      </x:c>
      <x:c r="B67" s="1152" t="n">
        <x:f>('03_3_Statement_Model'!D15*G16-'04_DCF_Valuation'!E34)/'01_Inputs_Historicals'!C67</x:f>
      </x:c>
      <x:c r="C67" s="1152" t="n">
        <x:f>('03_3_Statement_Model'!D15*G17-'04_DCF_Valuation'!E34)/'01_Inputs_Historicals'!C67</x:f>
      </x:c>
      <x:c r="D67" s="1152" t="n">
        <x:f>('03_3_Statement_Model'!D15*G18-'04_DCF_Valuation'!E34)/'01_Inputs_Historicals'!C67</x:f>
      </x:c>
      <x:c r="E67" s="335"/>
      <x:c r="F67" s="335"/>
      <x:c r="G67" s="335"/>
      <x:c r="H67" s="335"/>
      <x:c r="I67" s="335"/>
      <x:c r="J67" s="335"/>
      <x:c r="K67" s="335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</x:row>
    <x:row r="68" outlineLevel="1">
      <x:c r="A68" s="810" t="str">
        <x:v>Precedent Transactions</x:v>
      </x:c>
      <x:c r="B68" s="1152" t="n">
        <x:f>('03_3_Statement_Model'!D15*G50-'04_DCF_Valuation'!E34)/'01_Inputs_Historicals'!C67</x:f>
      </x:c>
      <x:c r="C68" s="1125" t="n">
        <x:f>('03_3_Statement_Model'!D15*G51-'04_DCF_Valuation'!$E$34)/'01_Inputs_Historicals'!$C$67</x:f>
      </x:c>
      <x:c r="D68" s="1152" t="n">
        <x:f>('03_3_Statement_Model'!D15*G52-'04_DCF_Valuation'!E34)/'01_Inputs_Historicals'!C67</x:f>
      </x:c>
      <x:c r="E68" s="335"/>
      <x:c r="F68" s="335"/>
      <x:c r="G68" s="335"/>
      <x:c r="H68" s="335"/>
      <x:c r="I68" s="335"/>
      <x:c r="J68" s="335"/>
      <x:c r="K68" s="335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</x:row>
    <x:row r="69" outlineLevel="1">
      <x:c r="A69" s="810" t="str">
        <x:v>DCF - Perpetuity Growth</x:v>
      </x:c>
      <x:c r="B69" s="1152" t="n">
        <x:f>MIN('05_Sensitivity'!B7:G12)</x:f>
      </x:c>
      <x:c r="C69" s="1152" t="n">
        <x:f>'04_DCF_Valuation'!H48</x:f>
      </x:c>
      <x:c r="D69" s="1152" t="n">
        <x:f>MAX('05_Sensitivity'!B7:G12)</x:f>
      </x:c>
      <x:c r="E69" s="335"/>
      <x:c r="F69" s="335"/>
      <x:c r="G69" s="335"/>
      <x:c r="H69" s="335"/>
      <x:c r="I69" s="335"/>
      <x:c r="J69" s="335"/>
      <x:c r="K69" s="335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</x:row>
    <x:row r="70" outlineLevel="1">
      <x:c r="A70" s="810" t="str">
        <x:v>DCF - Exit Multiple</x:v>
      </x:c>
      <x:c r="B70" s="1152" t="n">
        <x:f>'04_DCF_Valuation'!H49*90%</x:f>
      </x:c>
      <x:c r="C70" s="1152" t="n">
        <x:f>'04_DCF_Valuation'!H49</x:f>
      </x:c>
      <x:c r="D70" s="1152" t="n">
        <x:f>'04_DCF_Valuation'!H49*110%</x:f>
      </x:c>
      <x:c r="E70" s="335"/>
      <x:c r="F70" s="335"/>
      <x:c r="G70" s="335"/>
      <x:c r="H70" s="335"/>
      <x:c r="I70" s="335"/>
      <x:c r="J70" s="335"/>
      <x:c r="K70" s="335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</x:row>
    <x:row r="71" outlineLevel="1">
      <x:c r="A71" s="810" t="str">
        <x:v>Current Price</x:v>
      </x:c>
      <x:c r="B71" s="1152" t="n">
        <x:f>'00_Dashboard'!B10</x:f>
      </x:c>
      <x:c r="C71" s="1152" t="n">
        <x:f>'00_Dashboard'!B10</x:f>
      </x:c>
      <x:c r="D71" s="1152" t="n">
        <x:f>'00_Dashboard'!B10</x:f>
      </x:c>
      <x:c r="E71" s="335"/>
      <x:c r="F71" s="335"/>
      <x:c r="G71" s="335"/>
      <x:c r="H71" s="335"/>
      <x:c r="I71" s="335"/>
      <x:c r="J71" s="335"/>
      <x:c r="K71" s="335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</x:row>
    <x:row r="72" outlineLevel="1">
      <x:c r="A72" s="810" t="str">
        <x:v>Average Valuation</x:v>
      </x:c>
      <x:c r="B72" s="1125" t="n">
        <x:f>AVERAGE(B67:B70)</x:f>
      </x:c>
      <x:c r="C72" s="1125" t="n">
        <x:f>AVERAGE(C67:C70)</x:f>
      </x:c>
      <x:c r="D72" s="1125" t="n">
        <x:f>AVERAGE(D67:D70)</x:f>
      </x:c>
      <x:c r="E72" s="335"/>
      <x:c r="F72" s="335"/>
      <x:c r="G72" s="335"/>
      <x:c r="H72" s="335"/>
      <x:c r="I72" s="335"/>
      <x:c r="J72" s="335"/>
      <x:c r="K72" s="335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</x:row>
    <x:row r="73" outlineLevel="1">
      <x:c r="A73" s="335"/>
      <x:c r="B73" s="335"/>
      <x:c r="C73" s="335"/>
      <x:c r="D73" s="335"/>
      <x:c r="E73" s="335"/>
      <x:c r="F73" s="335"/>
      <x:c r="G73" s="335"/>
      <x:c r="H73" s="335"/>
      <x:c r="I73" s="335"/>
      <x:c r="J73" s="335"/>
      <x:c r="K73" s="335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</x:row>
    <x:row r="74">
      <x:c r="A74" s="335"/>
      <x:c r="B74" s="335"/>
      <x:c r="C74" s="335"/>
      <x:c r="D74" s="335"/>
      <x:c r="E74" s="335"/>
      <x:c r="F74" s="335"/>
      <x:c r="G74" s="335"/>
      <x:c r="H74" s="335"/>
      <x:c r="I74" s="335"/>
      <x:c r="J74" s="335"/>
      <x:c r="K74" s="335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</x:row>
    <x:row r="75">
      <x:c r="A75" s="810" t="str">
        <x:v>Valuation Checks</x:v>
      </x:c>
      <x:c r="B75" s="810"/>
      <x:c r="C75" s="335"/>
      <x:c r="D75" s="335"/>
      <x:c r="E75" s="335"/>
      <x:c r="F75" s="335"/>
      <x:c r="G75" s="335"/>
      <x:c r="H75" s="335"/>
      <x:c r="I75" s="335"/>
      <x:c r="J75" s="335"/>
      <x:c r="K75" s="335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</x:row>
    <x:row r="76" outlineLevel="1">
      <x:c r="A76" s="810" t="str">
        <x:v>Transaction Multiples Positive</x:v>
      </x:c>
      <x:c r="B76" s="810" t="str">
        <x:f>IF(MIN(H41:H45)&gt;0,"OK","CHECK")</x:f>
      </x:c>
      <x:c r="C76" s="335"/>
      <x:c r="D76" s="335"/>
      <x:c r="E76" s="335"/>
      <x:c r="F76" s="335"/>
      <x:c r="G76" s="335"/>
      <x:c r="H76" s="335"/>
      <x:c r="I76" s="335"/>
      <x:c r="J76" s="335"/>
      <x:c r="K76" s="335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</x:row>
    <x:row r="77" outlineLevel="1">
      <x:c r="A77" s="810" t="str">
        <x:v>Transaction Range Ordered</x:v>
      </x:c>
      <x:c r="B77" s="810" t="str">
        <x:f>IF(AND(G50&lt;=G51,G51&lt;=G52),"OK","CHECK")</x:f>
      </x:c>
      <x:c r="C77" s="335"/>
      <x:c r="D77" s="335"/>
      <x:c r="E77" s="335"/>
      <x:c r="F77" s="335"/>
      <x:c r="G77" s="335"/>
      <x:c r="H77" s="335"/>
      <x:c r="I77" s="335"/>
      <x:c r="J77" s="335"/>
      <x:c r="K77" s="335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</x:row>
    <x:row r="78" outlineLevel="1">
      <x:c r="A78" s="810" t="str">
        <x:v>Football Field Ranges Ordered</x:v>
      </x:c>
      <x:c r="B78" s="810" t="str">
        <x:f>IF(AND(B67&lt;=C67,C67&lt;=D67,B68&lt;=C68,C68&lt;=D68,B69&lt;=C69,C69&lt;=D69,B70&lt;=C70,C70&lt;=D70),"OK","CHECK")</x:f>
      </x:c>
      <x:c r="C78" s="335"/>
      <x:c r="D78" s="335"/>
      <x:c r="E78" s="335"/>
      <x:c r="F78" s="335"/>
      <x:c r="G78" s="335"/>
      <x:c r="H78" s="335"/>
      <x:c r="I78" s="335"/>
      <x:c r="J78" s="335"/>
      <x:c r="K78" s="335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</x:row>
    <x:row r="79" outlineLevel="1">
      <x:c r="A79" s="810" t="str">
        <x:v>Football Field Positive</x:v>
      </x:c>
      <x:c r="B79" s="810" t="str">
        <x:f>IF(MIN(B67:D72)&gt;0,"OK","CHECK")</x:f>
      </x:c>
      <x:c r="C79" s="335"/>
      <x:c r="D79" s="335"/>
      <x:c r="E79" s="335"/>
      <x:c r="F79" s="335"/>
      <x:c r="G79" s="335"/>
      <x:c r="H79" s="335"/>
      <x:c r="I79" s="335"/>
      <x:c r="J79" s="335"/>
      <x:c r="K79" s="335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</x:row>
    <x:row r="80" outlineLevel="1">
      <x:c r="A80" s="335"/>
      <x:c r="B80" s="335"/>
      <x:c r="C80" s="335"/>
      <x:c r="D80" s="335"/>
      <x:c r="E80" s="335"/>
      <x:c r="F80" s="335"/>
      <x:c r="G80" s="335"/>
      <x:c r="H80" s="335"/>
      <x:c r="I80" s="335"/>
      <x:c r="J80" s="335"/>
      <x:c r="K80" s="335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  <x:c r="T81" s="335"/>
      <x:c r="U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  <x:c r="T82" s="335"/>
      <x:c r="U82" s="335"/>
    </x:row>
    <x:row r="83">
      <x:c r="A83" s="335"/>
      <x:c r="B83" s="335"/>
      <x:c r="C83" s="335"/>
      <x:c r="D83" s="335"/>
      <x:c r="E83" s="335"/>
      <x:c r="F83" s="335"/>
      <x:c r="G83" s="335"/>
      <x:c r="H83" s="335"/>
      <x:c r="I83" s="335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  <x:c r="T83" s="335"/>
      <x:c r="U83" s="335"/>
    </x:row>
    <x:row r="84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  <x:c r="T84" s="335"/>
      <x:c r="U84" s="335"/>
    </x:row>
    <x:row r="85">
      <x:c r="A85" s="335"/>
      <x:c r="B85" s="335"/>
      <x:c r="C85" s="335"/>
      <x:c r="D85" s="335"/>
      <x:c r="E85" s="335"/>
      <x:c r="F85" s="335"/>
      <x:c r="G85" s="335"/>
      <x:c r="H85" s="335"/>
      <x:c r="I85" s="335"/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  <x:c r="T85" s="335"/>
      <x:c r="U85" s="335"/>
    </x:row>
    <x:row r="86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  <x:c r="T86" s="335"/>
      <x:c r="U86" s="335"/>
    </x:row>
    <x:row r="87">
      <x:c r="A87" s="335"/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  <x:c r="T87" s="335"/>
      <x:c r="U87" s="335"/>
    </x:row>
    <x:row r="88">
      <x:c r="A88" s="335"/>
      <x:c r="B88" s="335"/>
      <x:c r="C88" s="335"/>
      <x:c r="D88" s="335"/>
      <x:c r="E88" s="335"/>
      <x:c r="F88" s="335"/>
      <x:c r="G88" s="335"/>
      <x:c r="H88" s="335"/>
      <x:c r="I88" s="335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  <x:c r="T88" s="335"/>
      <x:c r="U88" s="335"/>
    </x:row>
    <x:row r="89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  <x:c r="T89" s="335"/>
      <x:c r="U89" s="335"/>
    </x:row>
    <x:row r="90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  <x:c r="T90" s="335"/>
      <x:c r="U90" s="335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  <x:c r="T91" s="335"/>
      <x:c r="U91" s="335"/>
    </x:row>
    <x:row r="92">
      <x:c r="A92" s="335"/>
      <x:c r="B92" s="335"/>
      <x:c r="C92" s="335"/>
      <x:c r="D92" s="335"/>
      <x:c r="E92" s="335"/>
      <x:c r="F92" s="335"/>
      <x:c r="G92" s="335"/>
      <x:c r="H92" s="335"/>
      <x:c r="I92" s="335"/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  <x:c r="T92" s="335"/>
      <x:c r="U92" s="335"/>
    </x:row>
    <x:row r="93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  <x:c r="T93" s="335"/>
      <x:c r="U93" s="335"/>
    </x:row>
    <x:row r="94">
      <x:c r="A94" s="335"/>
      <x:c r="B94" s="335"/>
      <x:c r="C94" s="335"/>
      <x:c r="D94" s="335"/>
      <x:c r="E94" s="335"/>
      <x:c r="F94" s="335"/>
      <x:c r="G94" s="335"/>
      <x:c r="H94" s="335"/>
      <x:c r="I94" s="335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  <x:c r="T94" s="335"/>
      <x:c r="U94" s="335"/>
    </x:row>
    <x:row r="95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  <x:c r="T95" s="335"/>
      <x:c r="U95" s="335"/>
    </x:row>
    <x:row r="96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  <x:c r="T96" s="335"/>
      <x:c r="U96" s="335"/>
    </x:row>
    <x:row r="97">
      <x:c r="A97" s="335"/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  <x:c r="T97" s="335"/>
      <x:c r="U97" s="335"/>
    </x:row>
    <x:row r="98">
      <x:c r="A98" s="335"/>
      <x:c r="B98" s="335"/>
      <x:c r="C98" s="335"/>
      <x:c r="D98" s="335"/>
      <x:c r="E98" s="335"/>
      <x:c r="F98" s="335"/>
      <x:c r="G98" s="335"/>
      <x:c r="H98" s="335"/>
      <x:c r="I98" s="335"/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  <x:c r="T98" s="335"/>
      <x:c r="U98" s="335"/>
    </x:row>
    <x:row r="99">
      <x:c r="A99" s="335"/>
      <x:c r="B99" s="335"/>
      <x:c r="C99" s="335"/>
      <x:c r="D99" s="335"/>
      <x:c r="E99" s="335"/>
      <x:c r="F99" s="335"/>
      <x:c r="G99" s="335"/>
      <x:c r="H99" s="335"/>
      <x:c r="I99" s="335"/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  <x:c r="T99" s="335"/>
      <x:c r="U99" s="335"/>
    </x:row>
    <x:row r="100">
      <x:c r="A100" s="335"/>
      <x:c r="B100" s="335"/>
      <x:c r="C100" s="335"/>
      <x:c r="D100" s="335"/>
      <x:c r="E100" s="335"/>
      <x:c r="F100" s="335"/>
      <x:c r="G100" s="335"/>
      <x:c r="H100" s="335"/>
      <x:c r="I100" s="335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  <x:c r="T100" s="335"/>
      <x:c r="U100" s="335"/>
    </x:row>
  </x:sheetData>
  <x:mergeCells>
    <x:mergeCell ref="A1:J1"/>
    <x:mergeCell ref="A4:J4"/>
    <x:mergeCell ref="A21:J21"/>
    <x:mergeCell ref="A38:J38"/>
    <x:mergeCell ref="A55:J55"/>
    <x:mergeCell ref="A64:J64"/>
  </x:mergeCells>
  <x:conditionalFormatting sqref="B32:B34">
    <x:cfRule type="expression" dxfId="34" priority="1">
      <x:formula>B32="OK"</x:formula>
    </x:cfRule>
    <x:cfRule type="expression" dxfId="35" priority="2">
      <x:formula>B32="CHECK"</x:formula>
    </x:cfRule>
  </x:conditionalFormatting>
  <x:conditionalFormatting sqref="B76:B79">
    <x:cfRule type="expression" dxfId="74" priority="3">
      <x:formula>B76="OK"</x:formula>
    </x:cfRule>
    <x:cfRule type="expression" dxfId="75" priority="4">
      <x:formula>B76="CHECK"</x:formula>
    </x:cfRule>
  </x:conditionalFormatting>
  <x:pageMargins left="0.7" right="0.7" top="0.75" bottom="0.75" header="0.3" footer="0.3"/>
  <x:drawing xmlns:r="http://schemas.openxmlformats.org/officeDocument/2006/relationships" r:id="Rbf804e7dd483493e"/>
</x:worksheet>
</file>

<file path=xl/worksheets/sheet8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75" t="str">
        <x:v>Financial Analysis, Benchmarking &amp; Scenarios</x:v>
      </x:c>
      <x:c r="B1" s="475"/>
      <x:c r="C1" s="475"/>
      <x:c r="D1" s="475"/>
      <x:c r="E1" s="475"/>
      <x:c r="F1" s="475"/>
      <x:c r="G1" s="475"/>
      <x:c r="H1" s="475"/>
      <x:c r="I1" s="475"/>
      <x:c r="J1" s="436"/>
      <x:c r="K1" s="627"/>
      <x:c r="L1" s="627"/>
      <x:c r="M1" s="627"/>
      <x:c r="N1" s="627"/>
      <x:c r="O1" s="627"/>
      <x:c r="P1" s="627"/>
      <x:c r="Q1" s="627"/>
      <x:c r="R1" s="628"/>
      <x:c r="S1" s="628"/>
      <x:c r="T1" s="628"/>
      <x:c r="U1" s="628"/>
      <x:c r="V1" s="628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V2" s="628"/>
      <x:c r="X2" s="808" t="str">
        <x:v>Year</x:v>
      </x:c>
      <x:c r="Y2" s="808" t="str">
        <x:v>EBITDA Margin</x:v>
      </x:c>
      <x:c r="Z2" s="808" t="str">
        <x:v>Net Margin</x:v>
      </x:c>
      <x:c r="AA2" s="808" t="str">
        <x:v>ROE</x:v>
      </x:c>
      <x:c r="AB2" s="808"/>
      <x:c r="AC2" s="808"/>
      <x:c r="AD2" s="808"/>
      <x:c r="AE2" s="808"/>
      <x:c r="AF2" s="808"/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V3" s="628"/>
      <x:c r="X3" s="808" t="str">
        <x:v>2023A</x:v>
      </x:c>
      <x:c r="Y3" s="1158" t="n">
        <x:f>B66</x:f>
      </x:c>
      <x:c r="Z3" s="1158" t="n">
        <x:f>B68</x:f>
      </x:c>
      <x:c r="AA3" s="1158" t="n">
        <x:f>B70</x:f>
      </x:c>
      <x:c r="AB3" s="808"/>
      <x:c r="AC3" s="808"/>
      <x:c r="AD3" s="808"/>
      <x:c r="AE3" s="808"/>
      <x:c r="AF3" s="808"/>
    </x:row>
    <x:row r="4">
      <x:c r="A4" s="335" t="str">
        <x:v>All figures in USD thousands unless stated</x:v>
      </x:c>
      <x:c r="B4" s="430" t="str">
        <x:v>2023A</x:v>
      </x:c>
      <x:c r="C4" s="430" t="str">
        <x:v>2024A</x:v>
      </x:c>
      <x:c r="D4" s="430" t="str">
        <x:v>2025A</x:v>
      </x:c>
      <x:c r="E4" s="430" t="str">
        <x:v>2026E</x:v>
      </x:c>
      <x:c r="F4" s="430" t="str">
        <x:v>2027E</x:v>
      </x:c>
      <x:c r="G4" s="430" t="str">
        <x:v>2028E</x:v>
      </x:c>
      <x:c r="H4" s="430" t="str">
        <x:v>2029E</x:v>
      </x:c>
      <x:c r="I4" s="430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V4" s="628"/>
      <x:c r="X4" s="808" t="str">
        <x:v>2024A</x:v>
      </x:c>
      <x:c r="Y4" s="1158" t="n">
        <x:f>C66</x:f>
      </x:c>
      <x:c r="Z4" s="1158" t="n">
        <x:f>C68</x:f>
      </x:c>
      <x:c r="AA4" s="1158" t="n">
        <x:f>C70</x:f>
      </x:c>
      <x:c r="AB4" s="808"/>
      <x:c r="AC4" s="808"/>
      <x:c r="AD4" s="808"/>
      <x:c r="AE4" s="808"/>
      <x:c r="AF4" s="808"/>
    </x:row>
    <x:row r="5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V5" s="628"/>
      <x:c r="X5" s="808" t="str">
        <x:v>2025A</x:v>
      </x:c>
      <x:c r="Y5" s="1158" t="n">
        <x:f>D66</x:f>
      </x:c>
      <x:c r="Z5" s="1158" t="n">
        <x:f>D68</x:f>
      </x:c>
      <x:c r="AA5" s="1158" t="n">
        <x:f>D70</x:f>
      </x:c>
      <x:c r="AB5" s="808"/>
      <x:c r="AC5" s="808"/>
      <x:c r="AD5" s="808"/>
      <x:c r="AE5" s="808"/>
      <x:c r="AF5" s="808"/>
    </x:row>
    <x:row r="6">
      <x:c r="A6" s="333" t="str">
        <x:v>Trend &amp; Ratio Analysis</x:v>
      </x:c>
      <x:c r="B6" s="333"/>
      <x:c r="C6" s="333"/>
      <x:c r="D6" s="333"/>
      <x:c r="E6" s="333"/>
      <x:c r="F6" s="333"/>
      <x:c r="G6" s="333"/>
      <x:c r="H6" s="333"/>
      <x:c r="I6" s="333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V6" s="628"/>
      <x:c r="X6" s="808" t="str">
        <x:v>2026E</x:v>
      </x:c>
      <x:c r="Y6" s="1158" t="n">
        <x:f>E66</x:f>
      </x:c>
      <x:c r="Z6" s="1158" t="n">
        <x:f>E68</x:f>
      </x:c>
      <x:c r="AA6" s="1158" t="n">
        <x:f>E70</x:f>
      </x:c>
      <x:c r="AB6" s="808"/>
      <x:c r="AC6" s="808"/>
      <x:c r="AD6" s="808"/>
      <x:c r="AE6" s="808"/>
      <x:c r="AF6" s="808"/>
    </x:row>
    <x:row r="7" outlineLevel="1">
      <x:c r="A7" s="406" t="str">
        <x:v>Revenue Growth</x:v>
      </x:c>
      <x:c r="B7" s="408"/>
      <x:c r="C7" s="1159" t="n">
        <x:f>'03_3_Statement_Model'!C8/'03_3_Statement_Model'!B8-1</x:f>
      </x:c>
      <x:c r="D7" s="1159" t="n">
        <x:f>'03_3_Statement_Model'!D8/'03_3_Statement_Model'!C8-1</x:f>
      </x:c>
      <x:c r="E7" s="1159" t="n">
        <x:f>'03_3_Statement_Model'!E8/'03_3_Statement_Model'!D8-1</x:f>
      </x:c>
      <x:c r="F7" s="1159" t="n">
        <x:f>'03_3_Statement_Model'!F8/'03_3_Statement_Model'!E8-1</x:f>
      </x:c>
      <x:c r="G7" s="1159" t="n">
        <x:f>'03_3_Statement_Model'!G8/'03_3_Statement_Model'!F8-1</x:f>
      </x:c>
      <x:c r="H7" s="1159" t="n">
        <x:f>'03_3_Statement_Model'!H8/'03_3_Statement_Model'!G8-1</x:f>
      </x:c>
      <x:c r="I7" s="1159" t="n">
        <x:f>'03_3_Statement_Model'!I8/'03_3_Statement_Model'!H8-1</x:f>
      </x:c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V7" s="628"/>
      <x:c r="X7" s="808" t="str">
        <x:v>2027E</x:v>
      </x:c>
      <x:c r="Y7" s="1158" t="n">
        <x:f>F66</x:f>
      </x:c>
      <x:c r="Z7" s="1158" t="n">
        <x:f>F68</x:f>
      </x:c>
      <x:c r="AA7" s="1158" t="n">
        <x:f>F70</x:f>
      </x:c>
      <x:c r="AB7" s="808"/>
      <x:c r="AC7" s="808"/>
      <x:c r="AD7" s="808"/>
      <x:c r="AE7" s="808"/>
      <x:c r="AF7" s="808"/>
    </x:row>
    <x:row r="8" outlineLevel="1">
      <x:c r="A8" s="406" t="str">
        <x:v>Gross Margin</x:v>
      </x:c>
      <x:c r="B8" s="1159" t="n">
        <x:f>'03_3_Statement_Model'!B10/'03_3_Statement_Model'!B8</x:f>
      </x:c>
      <x:c r="C8" s="1159" t="n">
        <x:f>'03_3_Statement_Model'!C10/'03_3_Statement_Model'!C8</x:f>
      </x:c>
      <x:c r="D8" s="1159" t="n">
        <x:f>'03_3_Statement_Model'!D10/'03_3_Statement_Model'!D8</x:f>
      </x:c>
      <x:c r="E8" s="1159" t="n">
        <x:f>'03_3_Statement_Model'!E10/'03_3_Statement_Model'!E8</x:f>
      </x:c>
      <x:c r="F8" s="1159" t="n">
        <x:f>'03_3_Statement_Model'!F10/'03_3_Statement_Model'!F8</x:f>
      </x:c>
      <x:c r="G8" s="1159" t="n">
        <x:f>'03_3_Statement_Model'!G10/'03_3_Statement_Model'!G8</x:f>
      </x:c>
      <x:c r="H8" s="1159" t="n">
        <x:f>'03_3_Statement_Model'!H10/'03_3_Statement_Model'!H8</x:f>
      </x:c>
      <x:c r="I8" s="1159" t="n">
        <x:f>'03_3_Statement_Model'!I10/'03_3_Statement_Model'!I8</x:f>
      </x:c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V8" s="628"/>
      <x:c r="X8" s="808" t="str">
        <x:v>2028E</x:v>
      </x:c>
      <x:c r="Y8" s="1158" t="n">
        <x:f>G66</x:f>
      </x:c>
      <x:c r="Z8" s="1158" t="n">
        <x:f>G68</x:f>
      </x:c>
      <x:c r="AA8" s="1158" t="n">
        <x:f>G70</x:f>
      </x:c>
      <x:c r="AB8" s="808"/>
      <x:c r="AC8" s="808"/>
      <x:c r="AD8" s="808"/>
      <x:c r="AE8" s="808"/>
      <x:c r="AF8" s="808"/>
    </x:row>
    <x:row r="9" outlineLevel="1">
      <x:c r="A9" s="406" t="str">
        <x:v>EBITDA Margin</x:v>
      </x:c>
      <x:c r="B9" s="1159" t="n">
        <x:f>'03_3_Statement_Model'!B15/'03_3_Statement_Model'!B8</x:f>
      </x:c>
      <x:c r="C9" s="1159" t="n">
        <x:f>'03_3_Statement_Model'!C15/'03_3_Statement_Model'!C8</x:f>
      </x:c>
      <x:c r="D9" s="1159" t="n">
        <x:f>'03_3_Statement_Model'!D15/'03_3_Statement_Model'!D8</x:f>
      </x:c>
      <x:c r="E9" s="1159" t="n">
        <x:f>'03_3_Statement_Model'!E15/'03_3_Statement_Model'!E8</x:f>
      </x:c>
      <x:c r="F9" s="1159" t="n">
        <x:f>'03_3_Statement_Model'!F15/'03_3_Statement_Model'!F8</x:f>
      </x:c>
      <x:c r="G9" s="1159" t="n">
        <x:f>'03_3_Statement_Model'!G15/'03_3_Statement_Model'!G8</x:f>
      </x:c>
      <x:c r="H9" s="1159" t="n">
        <x:f>'03_3_Statement_Model'!H15/'03_3_Statement_Model'!H8</x:f>
      </x:c>
      <x:c r="I9" s="1159" t="n">
        <x:f>'03_3_Statement_Model'!I15/'03_3_Statement_Model'!I8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  <x:c r="V9" s="628"/>
      <x:c r="X9" s="808" t="str">
        <x:v>2029E</x:v>
      </x:c>
      <x:c r="Y9" s="1158" t="n">
        <x:f>H66</x:f>
      </x:c>
      <x:c r="Z9" s="1158" t="n">
        <x:f>H68</x:f>
      </x:c>
      <x:c r="AA9" s="1158" t="n">
        <x:f>H70</x:f>
      </x:c>
      <x:c r="AB9" s="808"/>
      <x:c r="AC9" s="808"/>
      <x:c r="AD9" s="808"/>
      <x:c r="AE9" s="808"/>
      <x:c r="AF9" s="808"/>
    </x:row>
    <x:row r="10" outlineLevel="1">
      <x:c r="A10" s="406" t="str">
        <x:v>Net Margin</x:v>
      </x:c>
      <x:c r="B10" s="1159" t="n">
        <x:f>'03_3_Statement_Model'!B26/'03_3_Statement_Model'!B8</x:f>
      </x:c>
      <x:c r="C10" s="1159" t="n">
        <x:f>'03_3_Statement_Model'!C26/'03_3_Statement_Model'!C8</x:f>
      </x:c>
      <x:c r="D10" s="1159" t="n">
        <x:f>'03_3_Statement_Model'!D26/'03_3_Statement_Model'!D8</x:f>
      </x:c>
      <x:c r="E10" s="1159" t="n">
        <x:f>'03_3_Statement_Model'!E26/'03_3_Statement_Model'!E8</x:f>
      </x:c>
      <x:c r="F10" s="1159" t="n">
        <x:f>'03_3_Statement_Model'!F26/'03_3_Statement_Model'!F8</x:f>
      </x:c>
      <x:c r="G10" s="1159" t="n">
        <x:f>'03_3_Statement_Model'!G26/'03_3_Statement_Model'!G8</x:f>
      </x:c>
      <x:c r="H10" s="1159" t="n">
        <x:f>'03_3_Statement_Model'!H26/'03_3_Statement_Model'!H8</x:f>
      </x:c>
      <x:c r="I10" s="1159" t="n">
        <x:f>'03_3_Statement_Model'!I26/'03_3_Statement_Model'!I8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  <x:c r="V10" s="628"/>
      <x:c r="X10" s="808" t="str">
        <x:v>2030E</x:v>
      </x:c>
      <x:c r="Y10" s="1158" t="n">
        <x:f>I66</x:f>
      </x:c>
      <x:c r="Z10" s="1158" t="n">
        <x:f>I68</x:f>
      </x:c>
      <x:c r="AA10" s="1158" t="n">
        <x:f>I70</x:f>
      </x:c>
      <x:c r="AB10" s="808"/>
      <x:c r="AC10" s="808"/>
      <x:c r="AD10" s="808"/>
      <x:c r="AE10" s="808"/>
      <x:c r="AF10" s="808"/>
    </x:row>
    <x:row r="11" outlineLevel="1">
      <x:c r="A11" s="406"/>
      <x:c r="B11" s="406"/>
      <x:c r="C11" s="406"/>
      <x:c r="D11" s="406"/>
      <x:c r="E11" s="406"/>
      <x:c r="F11" s="406"/>
      <x:c r="G11" s="406"/>
      <x:c r="H11" s="406"/>
      <x:c r="I11" s="406"/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  <x:c r="V11" s="628"/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 outlineLevel="1">
      <x:c r="A12" s="406" t="str">
        <x:v>DSO</x:v>
      </x:c>
      <x:c r="B12" s="1160" t="n">
        <x:f>'02_Operating_Model'!B91</x:f>
      </x:c>
      <x:c r="C12" s="1160" t="n">
        <x:f>'02_Operating_Model'!C91</x:f>
      </x:c>
      <x:c r="D12" s="1160" t="n">
        <x:f>'02_Operating_Model'!D91</x:f>
      </x:c>
      <x:c r="E12" s="1160" t="n">
        <x:f>'02_Operating_Model'!E91</x:f>
      </x:c>
      <x:c r="F12" s="1160" t="n">
        <x:f>'02_Operating_Model'!F91</x:f>
      </x:c>
      <x:c r="G12" s="1160" t="n">
        <x:f>'02_Operating_Model'!G91</x:f>
      </x:c>
      <x:c r="H12" s="1160" t="n">
        <x:f>'02_Operating_Model'!H91</x:f>
      </x:c>
      <x:c r="I12" s="1160" t="n">
        <x:f>'02_Operating_Model'!I91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  <x:c r="V12" s="628"/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 outlineLevel="1">
      <x:c r="A13" s="406" t="str">
        <x:v>DIO</x:v>
      </x:c>
      <x:c r="B13" s="1160" t="n">
        <x:f>'02_Operating_Model'!B92</x:f>
      </x:c>
      <x:c r="C13" s="1160" t="n">
        <x:f>'02_Operating_Model'!C92</x:f>
      </x:c>
      <x:c r="D13" s="1160" t="n">
        <x:f>'02_Operating_Model'!D92</x:f>
      </x:c>
      <x:c r="E13" s="1160" t="n">
        <x:f>'02_Operating_Model'!E92</x:f>
      </x:c>
      <x:c r="F13" s="1160" t="n">
        <x:f>'02_Operating_Model'!F92</x:f>
      </x:c>
      <x:c r="G13" s="1160" t="n">
        <x:f>'02_Operating_Model'!G92</x:f>
      </x:c>
      <x:c r="H13" s="1160" t="n">
        <x:f>'02_Operating_Model'!H92</x:f>
      </x:c>
      <x:c r="I13" s="1160" t="n">
        <x:f>'02_Operating_Model'!I92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  <x:c r="V13" s="628"/>
      <x:c r="X13" s="808" t="str">
        <x:v>Scenario</x:v>
      </x:c>
      <x:c r="Y13" s="808" t="str">
        <x:v>Revenue</x:v>
      </x:c>
      <x:c r="Z13" s="808" t="str">
        <x:v>EBITDA</x:v>
      </x:c>
      <x:c r="AA13" s="808" t="str">
        <x:v>UFCF</x:v>
      </x:c>
      <x:c r="AB13" s="808"/>
      <x:c r="AC13" s="808"/>
      <x:c r="AD13" s="808"/>
      <x:c r="AE13" s="808"/>
      <x:c r="AF13" s="808"/>
    </x:row>
    <x:row r="14" outlineLevel="1">
      <x:c r="A14" s="406" t="str">
        <x:v>DPO</x:v>
      </x:c>
      <x:c r="B14" s="1160" t="n">
        <x:f>'02_Operating_Model'!B93</x:f>
      </x:c>
      <x:c r="C14" s="1160" t="n">
        <x:f>'02_Operating_Model'!C93</x:f>
      </x:c>
      <x:c r="D14" s="1160" t="n">
        <x:f>'02_Operating_Model'!D93</x:f>
      </x:c>
      <x:c r="E14" s="1160" t="n">
        <x:f>'02_Operating_Model'!E93</x:f>
      </x:c>
      <x:c r="F14" s="1160" t="n">
        <x:f>'02_Operating_Model'!F93</x:f>
      </x:c>
      <x:c r="G14" s="1160" t="n">
        <x:f>'02_Operating_Model'!G93</x:f>
      </x:c>
      <x:c r="H14" s="1160" t="n">
        <x:f>'02_Operating_Model'!H93</x:f>
      </x:c>
      <x:c r="I14" s="1160" t="n">
        <x:f>'02_Operating_Model'!I93</x:f>
      </x:c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  <x:c r="V14" s="628"/>
      <x:c r="X14" s="808" t="str">
        <x:v>Bear</x:v>
      </x:c>
      <x:c r="Y14" s="1158" t="n">
        <x:f>B44</x:f>
      </x:c>
      <x:c r="Z14" s="1158" t="n">
        <x:f>B45</x:f>
      </x:c>
      <x:c r="AA14" s="1158" t="n">
        <x:f>B47</x:f>
      </x:c>
      <x:c r="AB14" s="808"/>
      <x:c r="AC14" s="808"/>
      <x:c r="AD14" s="808"/>
      <x:c r="AE14" s="808"/>
      <x:c r="AF14" s="808"/>
    </x:row>
    <x:row r="15" outlineLevel="1">
      <x:c r="A15" s="406"/>
      <x:c r="B15" s="406"/>
      <x:c r="C15" s="406"/>
      <x:c r="D15" s="406"/>
      <x:c r="E15" s="406"/>
      <x:c r="F15" s="406"/>
      <x:c r="G15" s="406"/>
      <x:c r="H15" s="406"/>
      <x:c r="I15" s="406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  <x:c r="V15" s="628"/>
      <x:c r="X15" s="808" t="str">
        <x:v>Base</x:v>
      </x:c>
      <x:c r="Y15" s="1158" t="n">
        <x:f>C44</x:f>
      </x:c>
      <x:c r="Z15" s="1158" t="n">
        <x:f>C45</x:f>
      </x:c>
      <x:c r="AA15" s="1158" t="n">
        <x:f>C47</x:f>
      </x:c>
      <x:c r="AB15" s="808"/>
      <x:c r="AC15" s="808"/>
      <x:c r="AD15" s="808"/>
      <x:c r="AE15" s="808"/>
      <x:c r="AF15" s="808"/>
    </x:row>
    <x:row r="16" outlineLevel="1">
      <x:c r="A16" s="406" t="str">
        <x:v>Debt / EBITDA</x:v>
      </x:c>
      <x:c r="B16" s="1161" t="n">
        <x:f>'03_3_Statement_Model'!B65/'03_3_Statement_Model'!B15</x:f>
      </x:c>
      <x:c r="C16" s="1161" t="n">
        <x:f>'03_3_Statement_Model'!C65/'03_3_Statement_Model'!C15</x:f>
      </x:c>
      <x:c r="D16" s="1161" t="n">
        <x:f>'03_3_Statement_Model'!D65/'03_3_Statement_Model'!D15</x:f>
      </x:c>
      <x:c r="E16" s="1161" t="n">
        <x:f>'03_3_Statement_Model'!E65/'03_3_Statement_Model'!E15</x:f>
      </x:c>
      <x:c r="F16" s="1161" t="n">
        <x:f>'03_3_Statement_Model'!F65/'03_3_Statement_Model'!F15</x:f>
      </x:c>
      <x:c r="G16" s="1161" t="n">
        <x:f>'03_3_Statement_Model'!G65/'03_3_Statement_Model'!G15</x:f>
      </x:c>
      <x:c r="H16" s="1161" t="n">
        <x:f>'03_3_Statement_Model'!H65/'03_3_Statement_Model'!H15</x:f>
      </x:c>
      <x:c r="I16" s="1161" t="n">
        <x:f>'03_3_Statement_Model'!I65/'03_3_Statement_Model'!I15</x:f>
      </x:c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  <x:c r="V16" s="628"/>
      <x:c r="X16" s="808" t="str">
        <x:v>Bull</x:v>
      </x:c>
      <x:c r="Y16" s="1158" t="n">
        <x:f>D44</x:f>
      </x:c>
      <x:c r="Z16" s="1158" t="n">
        <x:f>D45</x:f>
      </x:c>
      <x:c r="AA16" s="1158" t="n">
        <x:f>D47</x:f>
      </x:c>
      <x:c r="AB16" s="808"/>
      <x:c r="AC16" s="808"/>
      <x:c r="AD16" s="808"/>
      <x:c r="AE16" s="808"/>
      <x:c r="AF16" s="808"/>
    </x:row>
    <x:row r="17" outlineLevel="1">
      <x:c r="A17" s="406" t="str">
        <x:v>ROA</x:v>
      </x:c>
      <x:c r="B17" s="1159" t="n">
        <x:f>'03_3_Statement_Model'!B26/'03_3_Statement_Model'!B61</x:f>
      </x:c>
      <x:c r="C17" s="1159" t="n">
        <x:f>'03_3_Statement_Model'!C26/'03_3_Statement_Model'!C61</x:f>
      </x:c>
      <x:c r="D17" s="1159" t="n">
        <x:f>'03_3_Statement_Model'!D26/'03_3_Statement_Model'!D61</x:f>
      </x:c>
      <x:c r="E17" s="1159" t="n">
        <x:f>'03_3_Statement_Model'!E26/'03_3_Statement_Model'!E61</x:f>
      </x:c>
      <x:c r="F17" s="1159" t="n">
        <x:f>'03_3_Statement_Model'!F26/'03_3_Statement_Model'!F61</x:f>
      </x:c>
      <x:c r="G17" s="1159" t="n">
        <x:f>'03_3_Statement_Model'!G26/'03_3_Statement_Model'!G61</x:f>
      </x:c>
      <x:c r="H17" s="1159" t="n">
        <x:f>'03_3_Statement_Model'!H26/'03_3_Statement_Model'!H61</x:f>
      </x:c>
      <x:c r="I17" s="1159" t="n">
        <x:f>'03_3_Statement_Model'!I26/'03_3_Statement_Model'!I61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  <x:c r="V17" s="628"/>
      <x:c r="X17" s="808"/>
      <x:c r="Y17" s="808"/>
      <x:c r="Z17" s="808"/>
      <x:c r="AA17" s="808"/>
      <x:c r="AB17" s="808"/>
      <x:c r="AC17" s="808"/>
      <x:c r="AD17" s="808"/>
      <x:c r="AE17" s="808"/>
      <x:c r="AF17" s="808"/>
    </x:row>
    <x:row r="18" outlineLevel="1">
      <x:c r="A18" s="406" t="str">
        <x:v>ROE</x:v>
      </x:c>
      <x:c r="B18" s="1159" t="n">
        <x:f>'03_3_Statement_Model'!B26/'03_3_Statement_Model'!B72</x:f>
      </x:c>
      <x:c r="C18" s="1159" t="n">
        <x:f>'03_3_Statement_Model'!C26/'03_3_Statement_Model'!C72</x:f>
      </x:c>
      <x:c r="D18" s="1159" t="n">
        <x:f>'03_3_Statement_Model'!D26/'03_3_Statement_Model'!D72</x:f>
      </x:c>
      <x:c r="E18" s="1159" t="n">
        <x:f>'03_3_Statement_Model'!E26/'03_3_Statement_Model'!E72</x:f>
      </x:c>
      <x:c r="F18" s="1159" t="n">
        <x:f>'03_3_Statement_Model'!F26/'03_3_Statement_Model'!F72</x:f>
      </x:c>
      <x:c r="G18" s="1159" t="n">
        <x:f>'03_3_Statement_Model'!G26/'03_3_Statement_Model'!G72</x:f>
      </x:c>
      <x:c r="H18" s="1159" t="n">
        <x:f>'03_3_Statement_Model'!H26/'03_3_Statement_Model'!H72</x:f>
      </x:c>
      <x:c r="I18" s="1159" t="n">
        <x:f>'03_3_Statement_Model'!I26/'03_3_Statement_Model'!I72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  <x:c r="V18" s="628"/>
      <x:c r="X18" s="808"/>
      <x:c r="Y18" s="808"/>
      <x:c r="Z18" s="808"/>
      <x:c r="AA18" s="808"/>
      <x:c r="AB18" s="808"/>
      <x:c r="AC18" s="808"/>
      <x:c r="AD18" s="808"/>
      <x:c r="AE18" s="808"/>
      <x:c r="AF18" s="808"/>
    </x:row>
    <x:row r="19" outlineLevel="1">
      <x:c r="A19" s="406"/>
      <x:c r="B19" s="406"/>
      <x:c r="C19" s="406"/>
      <x:c r="D19" s="406"/>
      <x:c r="E19" s="406"/>
      <x:c r="F19" s="406"/>
      <x:c r="G19" s="406"/>
      <x:c r="H19" s="406"/>
      <x:c r="I19" s="406"/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  <x:c r="V19" s="628"/>
      <x:c r="X19" s="808" t="str">
        <x:v>Metric</x:v>
      </x:c>
      <x:c r="Y19" s="808" t="str">
        <x:v>DemoCo</x:v>
      </x:c>
      <x:c r="Z19" s="808" t="str">
        <x:v>Low</x:v>
      </x:c>
      <x:c r="AA19" s="808" t="str">
        <x:v>Median</x:v>
      </x:c>
      <x:c r="AB19" s="808" t="str">
        <x:v>High</x:v>
      </x:c>
      <x:c r="AC19" s="808"/>
      <x:c r="AD19" s="808"/>
      <x:c r="AE19" s="808"/>
      <x:c r="AF19" s="808"/>
    </x:row>
    <x:row r="20" outlineLevel="1">
      <x:c r="A20" s="406" t="str">
        <x:v>Asset Turnover</x:v>
      </x:c>
      <x:c r="B20" s="1161" t="n">
        <x:f>'03_3_Statement_Model'!B8/'03_3_Statement_Model'!B61</x:f>
      </x:c>
      <x:c r="C20" s="1161" t="n">
        <x:f>'03_3_Statement_Model'!C8/'03_3_Statement_Model'!C61</x:f>
      </x:c>
      <x:c r="D20" s="1161" t="n">
        <x:f>'03_3_Statement_Model'!D8/'03_3_Statement_Model'!D61</x:f>
      </x:c>
      <x:c r="E20" s="1161" t="n">
        <x:f>'03_3_Statement_Model'!E8/'03_3_Statement_Model'!E61</x:f>
      </x:c>
      <x:c r="F20" s="1161" t="n">
        <x:f>'03_3_Statement_Model'!F8/'03_3_Statement_Model'!F61</x:f>
      </x:c>
      <x:c r="G20" s="1161" t="n">
        <x:f>'03_3_Statement_Model'!G8/'03_3_Statement_Model'!G61</x:f>
      </x:c>
      <x:c r="H20" s="1161" t="n">
        <x:f>'03_3_Statement_Model'!H8/'03_3_Statement_Model'!H61</x:f>
      </x:c>
      <x:c r="I20" s="1161" t="n">
        <x:f>'03_3_Statement_Model'!I8/'03_3_Statement_Model'!I61</x:f>
      </x:c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  <x:c r="V20" s="628"/>
      <x:c r="X20" s="808" t="str">
        <x:v>Gross Margin</x:v>
      </x:c>
      <x:c r="Y20" s="1158" t="n">
        <x:f>B112</x:f>
      </x:c>
      <x:c r="Z20" s="1158" t="n">
        <x:f>C112</x:f>
      </x:c>
      <x:c r="AA20" s="1158" t="n">
        <x:f>D112</x:f>
      </x:c>
      <x:c r="AB20" s="1158" t="n">
        <x:f>E112</x:f>
      </x:c>
      <x:c r="AC20" s="808"/>
      <x:c r="AD20" s="808"/>
      <x:c r="AE20" s="808"/>
      <x:c r="AF20" s="808"/>
    </x:row>
    <x:row r="21" outlineLevel="1">
      <x:c r="A21" s="810" t="str">
        <x:v>Equity Multiplier</x:v>
      </x:c>
      <x:c r="B21" s="1162" t="n">
        <x:f>'03_3_Statement_Model'!B61/'03_3_Statement_Model'!B72</x:f>
      </x:c>
      <x:c r="C21" s="1162" t="n">
        <x:f>'03_3_Statement_Model'!C61/'03_3_Statement_Model'!C72</x:f>
      </x:c>
      <x:c r="D21" s="1162" t="n">
        <x:f>'03_3_Statement_Model'!D61/'03_3_Statement_Model'!D72</x:f>
      </x:c>
      <x:c r="E21" s="1162" t="n">
        <x:f>'03_3_Statement_Model'!E61/'03_3_Statement_Model'!E72</x:f>
      </x:c>
      <x:c r="F21" s="1162" t="n">
        <x:f>'03_3_Statement_Model'!F61/'03_3_Statement_Model'!F72</x:f>
      </x:c>
      <x:c r="G21" s="1162" t="n">
        <x:f>'03_3_Statement_Model'!G61/'03_3_Statement_Model'!G72</x:f>
      </x:c>
      <x:c r="H21" s="1162" t="n">
        <x:f>'03_3_Statement_Model'!H61/'03_3_Statement_Model'!H72</x:f>
      </x:c>
      <x:c r="I21" s="1162" t="n">
        <x:f>'03_3_Statement_Model'!I61/'03_3_Statement_Model'!I72</x:f>
      </x:c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  <x:c r="V21" s="628"/>
      <x:c r="X21" s="808" t="str">
        <x:v>EBITDA Margin</x:v>
      </x:c>
      <x:c r="Y21" s="1158" t="n">
        <x:f>B113</x:f>
      </x:c>
      <x:c r="Z21" s="1158" t="n">
        <x:f>C113</x:f>
      </x:c>
      <x:c r="AA21" s="1158" t="n">
        <x:f>D113</x:f>
      </x:c>
      <x:c r="AB21" s="1158" t="n">
        <x:f>E113</x:f>
      </x:c>
      <x:c r="AC21" s="808"/>
      <x:c r="AD21" s="808"/>
      <x:c r="AE21" s="808"/>
      <x:c r="AF21" s="808"/>
    </x:row>
    <x:row r="22" outlineLevel="1">
      <x:c r="A22" s="422" t="str">
        <x:v>Benchmark Snapshot</x:v>
      </x:c>
      <x:c r="B22" s="422"/>
      <x:c r="C22" s="422"/>
      <x:c r="D22" s="422"/>
      <x:c r="E22" s="422"/>
      <x:c r="F22" s="335"/>
      <x:c r="G22" s="335"/>
      <x:c r="H22" s="335"/>
      <x:c r="I22" s="335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  <x:c r="V22" s="628"/>
      <x:c r="X22" s="808" t="str">
        <x:v>ROE</x:v>
      </x:c>
      <x:c r="Y22" s="1158" t="n">
        <x:f>B116</x:f>
      </x:c>
      <x:c r="Z22" s="1158" t="n">
        <x:f>C116</x:f>
      </x:c>
      <x:c r="AA22" s="1158" t="n">
        <x:f>D116</x:f>
      </x:c>
      <x:c r="AB22" s="1158" t="n">
        <x:f>E116</x:f>
      </x:c>
      <x:c r="AC22" s="808"/>
      <x:c r="AD22" s="808"/>
      <x:c r="AE22" s="808"/>
      <x:c r="AF22" s="808"/>
    </x:row>
    <x:row r="23" outlineLevel="1">
      <x:c r="A23" s="335"/>
      <x:c r="B23" s="335"/>
      <x:c r="C23" s="335"/>
      <x:c r="D23" s="335"/>
      <x:c r="E23" s="335"/>
      <x:c r="F23" s="335"/>
      <x:c r="G23" s="335"/>
      <x:c r="H23" s="335"/>
      <x:c r="I23" s="335"/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  <x:c r="V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 outlineLevel="1">
      <x:c r="A24" s="816" t="str">
        <x:v>Metric</x:v>
      </x:c>
      <x:c r="B24" s="816" t="str">
        <x:v>DemoCo 2030</x:v>
      </x:c>
      <x:c r="C24" s="816" t="str">
        <x:v>Peer Low</x:v>
      </x:c>
      <x:c r="D24" s="816" t="str">
        <x:v>Peer Median</x:v>
      </x:c>
      <x:c r="E24" s="816" t="str">
        <x:v>Peer High</x:v>
      </x:c>
      <x:c r="F24" s="335"/>
      <x:c r="G24" s="335"/>
      <x:c r="H24" s="335"/>
      <x:c r="I24" s="335"/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  <x:c r="V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 outlineLevel="1">
      <x:c r="A25" s="406" t="str">
        <x:v>EBITDA Margin</x:v>
      </x:c>
      <x:c r="B25" s="1163" t="n">
        <x:f>I9</x:f>
      </x:c>
      <x:c r="C25" s="1164" t="n">
        <x:v>0.18</x:v>
      </x:c>
      <x:c r="D25" s="1164" t="n">
        <x:v>0.23</x:v>
      </x:c>
      <x:c r="E25" s="1164" t="n">
        <x:v>0.28</x:v>
      </x:c>
      <x:c r="F25" s="335"/>
      <x:c r="G25" s="335"/>
      <x:c r="H25" s="335"/>
      <x:c r="I25" s="335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  <x:c r="V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 outlineLevel="1">
      <x:c r="A26" s="406" t="str">
        <x:v>Debt / EBITDA</x:v>
      </x:c>
      <x:c r="B26" s="1165" t="n">
        <x:f>I16</x:f>
      </x:c>
      <x:c r="C26" s="1166" t="n">
        <x:v>0.8</x:v>
      </x:c>
      <x:c r="D26" s="1166" t="n">
        <x:v>1.5</x:v>
      </x:c>
      <x:c r="E26" s="1166" t="n">
        <x:v>2.5</x:v>
      </x:c>
      <x:c r="F26" s="335"/>
      <x:c r="G26" s="335"/>
      <x:c r="H26" s="335"/>
      <x:c r="I26" s="335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  <x:c r="V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 outlineLevel="1">
      <x:c r="A27" s="406" t="str">
        <x:v>ROA</x:v>
      </x:c>
      <x:c r="B27" s="1163" t="n">
        <x:f>I17</x:f>
      </x:c>
      <x:c r="C27" s="1164" t="n">
        <x:v>0.07</x:v>
      </x:c>
      <x:c r="D27" s="1164" t="n">
        <x:v>0.1</x:v>
      </x:c>
      <x:c r="E27" s="1164" t="n">
        <x:v>0.14</x:v>
      </x:c>
      <x:c r="F27" s="335"/>
      <x:c r="G27" s="335"/>
      <x:c r="H27" s="335"/>
      <x:c r="I27" s="335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  <x:c r="V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 outlineLevel="1">
      <x:c r="A28" s="810" t="str">
        <x:v>ROE</x:v>
      </x:c>
      <x:c r="B28" s="1108" t="n">
        <x:f>I18</x:f>
      </x:c>
      <x:c r="C28" s="1087" t="n">
        <x:v>0.12</x:v>
      </x:c>
      <x:c r="D28" s="1087" t="n">
        <x:v>0.18</x:v>
      </x:c>
      <x:c r="E28" s="1087" t="n">
        <x:v>0.25</x:v>
      </x:c>
      <x:c r="F28" s="335"/>
      <x:c r="G28" s="335"/>
      <x:c r="H28" s="335"/>
      <x:c r="I28" s="335"/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  <x:c r="V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  <x:c r="V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  <x:c r="V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333" t="str">
        <x:v>3-Step DuPont Analysis</x:v>
      </x:c>
      <x:c r="B31" s="333"/>
      <x:c r="C31" s="333"/>
      <x:c r="D31" s="333"/>
      <x:c r="E31" s="333"/>
      <x:c r="F31" s="333"/>
      <x:c r="G31" s="333"/>
      <x:c r="H31" s="333"/>
      <x:c r="I31" s="333"/>
      <x:c r="J31" s="335"/>
      <x:c r="K31" s="628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  <x:c r="V31" s="628"/>
      <x:c r="X31" s="808"/>
      <x:c r="Y31" s="808"/>
      <x:c r="Z31" s="808"/>
      <x:c r="AA31" s="808"/>
      <x:c r="AB31" s="808"/>
      <x:c r="AC31" s="808"/>
      <x:c r="AD31" s="808"/>
      <x:c r="AE31" s="808"/>
      <x:c r="AF31" s="808"/>
    </x:row>
    <x:row r="32" outlineLevel="1">
      <x:c r="A32" s="1003"/>
      <x:c r="B32" s="1003"/>
      <x:c r="C32" s="1003"/>
      <x:c r="D32" s="1003"/>
      <x:c r="E32" s="1003"/>
      <x:c r="F32" s="628"/>
      <x:c r="G32" s="628"/>
      <x:c r="H32" s="628"/>
      <x:c r="I32" s="628"/>
      <x:c r="J32" s="335"/>
      <x:c r="K32" s="628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  <x:c r="V32" s="628"/>
      <x:c r="X32" s="808"/>
      <x:c r="Y32" s="808"/>
      <x:c r="Z32" s="808"/>
      <x:c r="AA32" s="808"/>
      <x:c r="AB32" s="808"/>
      <x:c r="AC32" s="808"/>
      <x:c r="AD32" s="808"/>
      <x:c r="AE32" s="808"/>
      <x:c r="AF32" s="808"/>
    </x:row>
    <x:row r="33" outlineLevel="1">
      <x:c r="A33" s="816" t="str">
        <x:v>Metric</x:v>
      </x:c>
      <x:c r="B33" s="816" t="str">
        <x:v>2023A</x:v>
      </x:c>
      <x:c r="C33" s="816" t="str">
        <x:v>2024A</x:v>
      </x:c>
      <x:c r="D33" s="816" t="str">
        <x:v>2025A</x:v>
      </x:c>
      <x:c r="E33" s="816" t="str">
        <x:v>2026E</x:v>
      </x:c>
      <x:c r="F33" s="816" t="str">
        <x:v>2027E</x:v>
      </x:c>
      <x:c r="G33" s="816" t="str">
        <x:v>2028E</x:v>
      </x:c>
      <x:c r="H33" s="816" t="str">
        <x:v>2029E</x:v>
      </x:c>
      <x:c r="I33" s="816" t="str">
        <x:v>2030E</x:v>
      </x:c>
      <x:c r="J33" s="335"/>
      <x:c r="K33" s="628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  <x:c r="V33" s="628"/>
      <x:c r="X33" s="808"/>
      <x:c r="Y33" s="808"/>
      <x:c r="Z33" s="808"/>
      <x:c r="AA33" s="808"/>
      <x:c r="AB33" s="808"/>
      <x:c r="AC33" s="808"/>
      <x:c r="AD33" s="808"/>
      <x:c r="AE33" s="808"/>
      <x:c r="AF33" s="808"/>
    </x:row>
    <x:row r="34" outlineLevel="1">
      <x:c r="A34" s="406" t="str">
        <x:v>Net Profit Margin</x:v>
      </x:c>
      <x:c r="B34" s="1163" t="n">
        <x:f>B10</x:f>
      </x:c>
      <x:c r="C34" s="1163" t="n">
        <x:f>C10</x:f>
      </x:c>
      <x:c r="D34" s="1163" t="n">
        <x:f>D10</x:f>
      </x:c>
      <x:c r="E34" s="1163" t="n">
        <x:f>E10</x:f>
      </x:c>
      <x:c r="F34" s="1163" t="n">
        <x:f>F10</x:f>
      </x:c>
      <x:c r="G34" s="1163" t="n">
        <x:f>G10</x:f>
      </x:c>
      <x:c r="H34" s="1163" t="n">
        <x:f>H10</x:f>
      </x:c>
      <x:c r="I34" s="1163" t="n">
        <x:f>I10</x:f>
      </x:c>
      <x:c r="J34" s="335"/>
      <x:c r="K34" s="628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  <x:c r="V34" s="628"/>
      <x:c r="X34" s="808"/>
      <x:c r="Y34" s="808"/>
      <x:c r="Z34" s="808"/>
      <x:c r="AA34" s="808"/>
      <x:c r="AB34" s="808"/>
      <x:c r="AC34" s="808"/>
      <x:c r="AD34" s="808"/>
      <x:c r="AE34" s="808"/>
      <x:c r="AF34" s="808"/>
    </x:row>
    <x:row r="35" outlineLevel="1">
      <x:c r="A35" s="406" t="str">
        <x:v>Asset Turnover</x:v>
      </x:c>
      <x:c r="B35" s="1165" t="n">
        <x:f>B20</x:f>
      </x:c>
      <x:c r="C35" s="1165" t="n">
        <x:f>C20</x:f>
      </x:c>
      <x:c r="D35" s="1165" t="n">
        <x:f>D20</x:f>
      </x:c>
      <x:c r="E35" s="1165" t="n">
        <x:f>E20</x:f>
      </x:c>
      <x:c r="F35" s="1165" t="n">
        <x:f>F20</x:f>
      </x:c>
      <x:c r="G35" s="1165" t="n">
        <x:f>G20</x:f>
      </x:c>
      <x:c r="H35" s="1165" t="n">
        <x:f>H20</x:f>
      </x:c>
      <x:c r="I35" s="1165" t="n">
        <x:f>I20</x:f>
      </x:c>
      <x:c r="J35" s="335"/>
      <x:c r="K35" s="628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  <x:c r="V35" s="628"/>
      <x:c r="X35" s="808"/>
      <x:c r="Y35" s="808"/>
      <x:c r="Z35" s="808"/>
      <x:c r="AA35" s="808"/>
      <x:c r="AB35" s="808"/>
      <x:c r="AC35" s="808"/>
      <x:c r="AD35" s="808"/>
      <x:c r="AE35" s="808"/>
      <x:c r="AF35" s="808"/>
    </x:row>
    <x:row r="36" outlineLevel="1">
      <x:c r="A36" s="406" t="str">
        <x:v>Equity Multiplier</x:v>
      </x:c>
      <x:c r="B36" s="1165" t="n">
        <x:f>B21</x:f>
      </x:c>
      <x:c r="C36" s="1165" t="n">
        <x:f>C21</x:f>
      </x:c>
      <x:c r="D36" s="1165" t="n">
        <x:f>D21</x:f>
      </x:c>
      <x:c r="E36" s="1165" t="n">
        <x:f>E21</x:f>
      </x:c>
      <x:c r="F36" s="1165" t="n">
        <x:f>F21</x:f>
      </x:c>
      <x:c r="G36" s="1165" t="n">
        <x:f>G21</x:f>
      </x:c>
      <x:c r="H36" s="1165" t="n">
        <x:f>H21</x:f>
      </x:c>
      <x:c r="I36" s="1165" t="n">
        <x:f>I21</x:f>
      </x:c>
      <x:c r="J36" s="335"/>
      <x:c r="K36" s="628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  <x:c r="V36" s="628"/>
      <x:c r="X36" s="808"/>
      <x:c r="Y36" s="808"/>
      <x:c r="Z36" s="808"/>
      <x:c r="AA36" s="808"/>
      <x:c r="AB36" s="808"/>
      <x:c r="AC36" s="808"/>
      <x:c r="AD36" s="808"/>
      <x:c r="AE36" s="808"/>
      <x:c r="AF36" s="808"/>
    </x:row>
    <x:row r="37" outlineLevel="1">
      <x:c r="A37" s="434" t="str">
        <x:v>ROE (DuPont)</x:v>
      </x:c>
      <x:c r="B37" s="1167" t="n">
        <x:f>B34*B35*B36</x:f>
      </x:c>
      <x:c r="C37" s="1167" t="n">
        <x:f>C34*C35*C36</x:f>
      </x:c>
      <x:c r="D37" s="1167" t="n">
        <x:f>D34*D35*D36</x:f>
      </x:c>
      <x:c r="E37" s="1167" t="n">
        <x:f>E34*E35*E36</x:f>
      </x:c>
      <x:c r="F37" s="1167" t="n">
        <x:f>F34*F35*F36</x:f>
      </x:c>
      <x:c r="G37" s="1167" t="n">
        <x:f>G34*G35*G36</x:f>
      </x:c>
      <x:c r="H37" s="1167" t="n">
        <x:f>H34*H35*H36</x:f>
      </x:c>
      <x:c r="I37" s="1167" t="n">
        <x:f>I34*I35*I36</x:f>
      </x:c>
      <x:c r="J37" s="335"/>
      <x:c r="K37" s="628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  <x:c r="V37" s="628"/>
      <x:c r="X37" s="808"/>
      <x:c r="Y37" s="808"/>
      <x:c r="Z37" s="808"/>
      <x:c r="AA37" s="808"/>
      <x:c r="AB37" s="808"/>
      <x:c r="AC37" s="808"/>
      <x:c r="AD37" s="808"/>
      <x:c r="AE37" s="808"/>
      <x:c r="AF37" s="808"/>
    </x:row>
    <x:row r="38" outlineLevel="1">
      <x:c r="A38" s="681"/>
      <x:c r="B38" s="1004"/>
      <x:c r="C38" s="1004"/>
      <x:c r="D38" s="1004"/>
      <x:c r="E38" s="1004"/>
      <x:c r="F38" s="681"/>
      <x:c r="G38" s="681"/>
      <x:c r="H38" s="681"/>
      <x:c r="I38" s="681"/>
      <x:c r="J38" s="335"/>
      <x:c r="K38" s="628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  <x:c r="V38" s="628"/>
      <x:c r="X38" s="808"/>
      <x:c r="Y38" s="808"/>
      <x:c r="Z38" s="808"/>
      <x:c r="AA38" s="808"/>
      <x:c r="AB38" s="808"/>
      <x:c r="AC38" s="808"/>
      <x:c r="AD38" s="808"/>
      <x:c r="AE38" s="808"/>
      <x:c r="AF38" s="80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628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  <x:c r="V39" s="628"/>
      <x:c r="X39" s="808"/>
      <x:c r="Y39" s="808"/>
      <x:c r="Z39" s="808"/>
      <x:c r="AA39" s="808"/>
      <x:c r="AB39" s="808"/>
      <x:c r="AC39" s="808"/>
      <x:c r="AD39" s="808"/>
      <x:c r="AE39" s="808"/>
      <x:c r="AF39" s="808"/>
    </x:row>
    <x:row r="40">
      <x:c r="A40" s="335"/>
      <x:c r="B40" s="335"/>
      <x:c r="C40" s="335"/>
      <x:c r="D40" s="335"/>
      <x:c r="E40" s="335"/>
      <x:c r="F40" s="335"/>
      <x:c r="G40" s="335"/>
      <x:c r="H40" s="335"/>
      <x:c r="I40" s="335"/>
      <x:c r="J40" s="335"/>
      <x:c r="K40" s="628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  <x:c r="V40" s="628"/>
      <x:c r="X40" s="808"/>
      <x:c r="Y40" s="808"/>
      <x:c r="Z40" s="808"/>
      <x:c r="AA40" s="808"/>
      <x:c r="AB40" s="808"/>
      <x:c r="AC40" s="808"/>
      <x:c r="AD40" s="808"/>
      <x:c r="AE40" s="808"/>
      <x:c r="AF40" s="808"/>
    </x:row>
    <x:row r="41">
      <x:c r="A41" s="333" t="str">
        <x:v>Scenario Comparison</x:v>
      </x:c>
      <x:c r="B41" s="333"/>
      <x:c r="C41" s="333"/>
      <x:c r="D41" s="333"/>
      <x:c r="E41" s="333"/>
      <x:c r="F41" s="333"/>
      <x:c r="G41" s="333"/>
      <x:c r="H41" s="333"/>
      <x:c r="I41" s="333"/>
      <x:c r="J41" s="335"/>
      <x:c r="K41" s="628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  <x:c r="V41" s="628"/>
      <x:c r="X41" s="808"/>
      <x:c r="Y41" s="808"/>
      <x:c r="Z41" s="808"/>
      <x:c r="AA41" s="808"/>
      <x:c r="AB41" s="808"/>
      <x:c r="AC41" s="808"/>
      <x:c r="AD41" s="808"/>
      <x:c r="AE41" s="808"/>
      <x:c r="AF41" s="808"/>
    </x:row>
    <x:row r="42" outlineLevel="1">
      <x:c r="A42" s="335"/>
      <x:c r="B42" s="335"/>
      <x:c r="C42" s="335"/>
      <x:c r="D42" s="335"/>
      <x:c r="E42" s="335"/>
      <x:c r="F42" s="335"/>
      <x:c r="G42" s="335"/>
      <x:c r="H42" s="335"/>
      <x:c r="I42" s="335"/>
      <x:c r="J42" s="335"/>
      <x:c r="K42" s="628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  <x:c r="V42" s="628"/>
      <x:c r="X42" s="808"/>
      <x:c r="Y42" s="808"/>
      <x:c r="Z42" s="808"/>
      <x:c r="AA42" s="808"/>
      <x:c r="AB42" s="808"/>
      <x:c r="AC42" s="808"/>
      <x:c r="AD42" s="808"/>
      <x:c r="AE42" s="808"/>
      <x:c r="AF42" s="808"/>
    </x:row>
    <x:row r="43" outlineLevel="1">
      <x:c r="A43" s="816" t="str">
        <x:v>Metric</x:v>
      </x:c>
      <x:c r="B43" s="816" t="str">
        <x:v>Bear</x:v>
      </x:c>
      <x:c r="C43" s="816" t="str">
        <x:v>Base</x:v>
      </x:c>
      <x:c r="D43" s="816" t="str">
        <x:v>Bull</x:v>
      </x:c>
      <x:c r="E43" s="816" t="str">
        <x:v>Active</x:v>
      </x:c>
      <x:c r="F43" s="335"/>
      <x:c r="G43" s="335"/>
      <x:c r="H43" s="335"/>
      <x:c r="I43" s="335"/>
      <x:c r="J43" s="335"/>
      <x:c r="K43" s="628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  <x:c r="V43" s="628"/>
      <x:c r="X43" s="808"/>
      <x:c r="Y43" s="808"/>
      <x:c r="Z43" s="808"/>
      <x:c r="AA43" s="808"/>
      <x:c r="AB43" s="808"/>
      <x:c r="AC43" s="808"/>
      <x:c r="AD43" s="808"/>
      <x:c r="AE43" s="808"/>
      <x:c r="AF43" s="808"/>
    </x:row>
    <x:row r="44" outlineLevel="1">
      <x:c r="A44" s="406" t="str">
        <x:v>2030 Revenue</x:v>
      </x:c>
      <x:c r="B44" s="1168" t="n">
        <x:f>'05_Sensitivity'!B19</x:f>
      </x:c>
      <x:c r="C44" s="1168" t="n">
        <x:f>'05_Sensitivity'!C19</x:f>
      </x:c>
      <x:c r="D44" s="1168" t="n">
        <x:f>'05_Sensitivity'!D19</x:f>
      </x:c>
      <x:c r="E44" s="1168" t="n">
        <x:f>'03_3_Statement_Model'!I8</x:f>
      </x:c>
      <x:c r="F44" s="335"/>
      <x:c r="G44" s="335"/>
      <x:c r="H44" s="335"/>
      <x:c r="I44" s="335"/>
      <x:c r="J44" s="335"/>
      <x:c r="K44" s="628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  <x:c r="V44" s="628"/>
      <x:c r="X44" s="808"/>
      <x:c r="Y44" s="808"/>
      <x:c r="Z44" s="808"/>
      <x:c r="AA44" s="808"/>
      <x:c r="AB44" s="808"/>
      <x:c r="AC44" s="808"/>
      <x:c r="AD44" s="808"/>
      <x:c r="AE44" s="808"/>
      <x:c r="AF44" s="808"/>
    </x:row>
    <x:row r="45" outlineLevel="1">
      <x:c r="A45" s="406" t="str">
        <x:v>2030 EBITDA</x:v>
      </x:c>
      <x:c r="B45" s="1168" t="n">
        <x:f>'05_Sensitivity'!B20</x:f>
      </x:c>
      <x:c r="C45" s="1168" t="n">
        <x:f>'05_Sensitivity'!C20</x:f>
      </x:c>
      <x:c r="D45" s="1168" t="n">
        <x:f>'05_Sensitivity'!D20</x:f>
      </x:c>
      <x:c r="E45" s="1168" t="n">
        <x:f>'03_3_Statement_Model'!I15</x:f>
      </x:c>
      <x:c r="F45" s="335"/>
      <x:c r="G45" s="335"/>
      <x:c r="H45" s="335"/>
      <x:c r="I45" s="335"/>
      <x:c r="J45" s="335"/>
      <x:c r="K45" s="628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  <x:c r="V45" s="628"/>
      <x:c r="X45" s="808"/>
      <x:c r="Y45" s="808"/>
      <x:c r="Z45" s="808"/>
      <x:c r="AA45" s="808"/>
      <x:c r="AB45" s="808"/>
      <x:c r="AC45" s="808"/>
      <x:c r="AD45" s="808"/>
      <x:c r="AE45" s="808"/>
      <x:c r="AF45" s="808"/>
    </x:row>
    <x:row r="46" outlineLevel="1">
      <x:c r="A46" s="406" t="str">
        <x:v>2030 EBITDA Margin</x:v>
      </x:c>
      <x:c r="B46" s="1163" t="n">
        <x:f>B45/B44</x:f>
      </x:c>
      <x:c r="C46" s="1163" t="n">
        <x:f>C45/C44</x:f>
      </x:c>
      <x:c r="D46" s="1163" t="n">
        <x:f>D45/D44</x:f>
      </x:c>
      <x:c r="E46" s="1163" t="n">
        <x:f>E45/E44</x:f>
      </x:c>
      <x:c r="F46" s="335"/>
      <x:c r="G46" s="335"/>
      <x:c r="H46" s="335"/>
      <x:c r="I46" s="335"/>
      <x:c r="J46" s="335"/>
      <x:c r="K46" s="628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  <x:c r="V46" s="628"/>
      <x:c r="X46" s="808"/>
      <x:c r="Y46" s="808"/>
      <x:c r="Z46" s="808"/>
      <x:c r="AA46" s="808"/>
      <x:c r="AB46" s="808"/>
      <x:c r="AC46" s="808"/>
      <x:c r="AD46" s="808"/>
      <x:c r="AE46" s="808"/>
      <x:c r="AF46" s="808"/>
    </x:row>
    <x:row r="47" outlineLevel="1">
      <x:c r="A47" s="406" t="str">
        <x:v>2030 UFCF</x:v>
      </x:c>
      <x:c r="B47" s="1169" t="n">
        <x:f>B45*70%</x:f>
      </x:c>
      <x:c r="C47" s="1169" t="n">
        <x:f>C45*70%</x:f>
      </x:c>
      <x:c r="D47" s="1169" t="n">
        <x:f>D45*70%</x:f>
      </x:c>
      <x:c r="E47" s="1168" t="n">
        <x:f>'04_DCF_Valuation'!F11</x:f>
      </x:c>
      <x:c r="F47" s="335"/>
      <x:c r="G47" s="335"/>
      <x:c r="H47" s="335"/>
      <x:c r="I47" s="335"/>
      <x:c r="J47" s="335"/>
      <x:c r="K47" s="628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  <x:c r="V47" s="628"/>
      <x:c r="X47" s="808"/>
      <x:c r="Y47" s="808"/>
      <x:c r="Z47" s="808"/>
      <x:c r="AA47" s="808"/>
      <x:c r="AB47" s="808"/>
      <x:c r="AC47" s="808"/>
      <x:c r="AD47" s="808"/>
      <x:c r="AE47" s="808"/>
      <x:c r="AF47" s="808"/>
    </x:row>
    <x:row r="48" outlineLevel="1">
      <x:c r="A48" s="810" t="str">
        <x:v>Implied Share Price</x:v>
      </x:c>
      <x:c r="B48" s="1152" t="n">
        <x:f>'05_Sensitivity'!B22</x:f>
      </x:c>
      <x:c r="C48" s="1152" t="n">
        <x:f>'05_Sensitivity'!C22</x:f>
      </x:c>
      <x:c r="D48" s="1152" t="n">
        <x:f>'05_Sensitivity'!D22</x:f>
      </x:c>
      <x:c r="E48" s="1152" t="n">
        <x:f>'04_DCF_Valuation'!B54</x:f>
      </x:c>
      <x:c r="F48" s="335"/>
      <x:c r="G48" s="335"/>
      <x:c r="H48" s="335"/>
      <x:c r="I48" s="335"/>
      <x:c r="J48" s="335"/>
      <x:c r="K48" s="628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  <x:c r="V48" s="628"/>
      <x:c r="X48" s="808"/>
      <x:c r="Y48" s="808"/>
      <x:c r="Z48" s="808"/>
      <x:c r="AA48" s="808"/>
      <x:c r="AB48" s="808"/>
      <x:c r="AC48" s="808"/>
      <x:c r="AD48" s="808"/>
      <x:c r="AE48" s="808"/>
      <x:c r="AF48" s="808"/>
    </x:row>
    <x:row r="49" outlineLevel="1">
      <x:c r="A49" s="335"/>
      <x:c r="B49" s="335"/>
      <x:c r="C49" s="335"/>
      <x:c r="D49" s="335"/>
      <x:c r="E49" s="335"/>
      <x:c r="F49" s="335"/>
      <x:c r="G49" s="335"/>
      <x:c r="H49" s="335"/>
      <x:c r="I49" s="335"/>
      <x:c r="J49" s="335"/>
      <x:c r="K49" s="628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  <x:c r="V49" s="628"/>
      <x:c r="X49" s="808"/>
      <x:c r="Y49" s="808"/>
      <x:c r="Z49" s="808"/>
      <x:c r="AA49" s="808"/>
      <x:c r="AB49" s="808"/>
      <x:c r="AC49" s="808"/>
      <x:c r="AD49" s="808"/>
      <x:c r="AE49" s="808"/>
      <x:c r="AF49" s="808"/>
    </x:row>
    <x:row r="50" outlineLevel="1">
      <x:c r="A50" s="335"/>
      <x:c r="B50" s="335"/>
      <x:c r="C50" s="335"/>
      <x:c r="D50" s="335"/>
      <x:c r="E50" s="335"/>
      <x:c r="F50" s="335"/>
      <x:c r="G50" s="335"/>
      <x:c r="H50" s="335"/>
      <x:c r="I50" s="335"/>
      <x:c r="J50" s="335"/>
      <x:c r="K50" s="628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  <x:c r="V50" s="628"/>
      <x:c r="X50" s="808"/>
      <x:c r="Y50" s="808"/>
      <x:c r="Z50" s="808"/>
      <x:c r="AA50" s="808"/>
      <x:c r="AB50" s="808"/>
      <x:c r="AC50" s="808"/>
      <x:c r="AD50" s="808"/>
      <x:c r="AE50" s="808"/>
      <x:c r="AF50" s="808"/>
    </x:row>
    <x:row r="51">
      <x:c r="A51" s="335"/>
      <x:c r="B51" s="335"/>
      <x:c r="C51" s="335"/>
      <x:c r="D51" s="335"/>
      <x:c r="E51" s="335"/>
      <x:c r="F51" s="335"/>
      <x:c r="G51" s="335"/>
      <x:c r="H51" s="335"/>
      <x:c r="I51" s="335"/>
      <x:c r="J51" s="335"/>
      <x:c r="K51" s="628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  <x:c r="V51" s="628"/>
      <x:c r="X51" s="808"/>
      <x:c r="Y51" s="808"/>
      <x:c r="Z51" s="808"/>
      <x:c r="AA51" s="808"/>
      <x:c r="AB51" s="808"/>
      <x:c r="AC51" s="808"/>
      <x:c r="AD51" s="808"/>
      <x:c r="AE51" s="808"/>
      <x:c r="AF51" s="808"/>
    </x:row>
    <x:row r="52">
      <x:c r="A52" s="333" t="str">
        <x:v>Analysis Integrity Checks</x:v>
      </x:c>
      <x:c r="B52" s="333"/>
      <x:c r="C52" s="333"/>
      <x:c r="D52" s="333"/>
      <x:c r="E52" s="335"/>
      <x:c r="F52" s="335"/>
      <x:c r="G52" s="335"/>
      <x:c r="H52" s="335"/>
      <x:c r="I52" s="335"/>
      <x:c r="J52" s="335"/>
      <x:c r="K52" s="628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  <x:c r="V52" s="628"/>
      <x:c r="X52" s="808"/>
      <x:c r="Y52" s="808"/>
      <x:c r="Z52" s="808"/>
      <x:c r="AA52" s="808"/>
      <x:c r="AB52" s="808"/>
      <x:c r="AC52" s="808"/>
      <x:c r="AD52" s="808"/>
      <x:c r="AE52" s="808"/>
      <x:c r="AF52" s="80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628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  <x:c r="V53" s="628"/>
      <x:c r="X53" s="808"/>
      <x:c r="Y53" s="808"/>
      <x:c r="Z53" s="808"/>
      <x:c r="AA53" s="808"/>
      <x:c r="AB53" s="808"/>
      <x:c r="AC53" s="808"/>
      <x:c r="AD53" s="808"/>
      <x:c r="AE53" s="808"/>
      <x:c r="AF53" s="808"/>
    </x:row>
    <x:row r="54" outlineLevel="1">
      <x:c r="A54" s="335" t="str">
        <x:v>Check</x:v>
      </x:c>
      <x:c r="B54" s="335" t="str">
        <x:v>Status</x:v>
      </x:c>
      <x:c r="C54" s="335"/>
      <x:c r="D54" s="335"/>
      <x:c r="E54" s="335"/>
      <x:c r="F54" s="335"/>
      <x:c r="G54" s="335"/>
      <x:c r="H54" s="335"/>
      <x:c r="I54" s="335"/>
      <x:c r="J54" s="335"/>
      <x:c r="K54" s="628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  <x:c r="V54" s="628"/>
      <x:c r="X54" s="808"/>
      <x:c r="Y54" s="808"/>
      <x:c r="Z54" s="808"/>
      <x:c r="AA54" s="808"/>
      <x:c r="AB54" s="808"/>
      <x:c r="AC54" s="808"/>
      <x:c r="AD54" s="808"/>
      <x:c r="AE54" s="808"/>
      <x:c r="AF54" s="808"/>
    </x:row>
    <x:row r="55" outlineLevel="1">
      <x:c r="A55" s="335" t="str">
        <x:v>ROE vs DuPont</x:v>
      </x:c>
      <x:c r="B55" s="335" t="str">
        <x:f>IF(ABS(I18-I37)&lt;0.001,"OK","CHECK")</x:f>
      </x:c>
      <x:c r="C55" s="335"/>
      <x:c r="D55" s="335"/>
      <x:c r="E55" s="335"/>
      <x:c r="F55" s="335"/>
      <x:c r="G55" s="335"/>
      <x:c r="H55" s="335"/>
      <x:c r="I55" s="335"/>
      <x:c r="J55" s="335"/>
      <x:c r="K55" s="628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  <x:c r="V55" s="628"/>
      <x:c r="X55" s="808"/>
      <x:c r="Y55" s="808"/>
      <x:c r="Z55" s="808"/>
      <x:c r="AA55" s="808"/>
      <x:c r="AB55" s="808"/>
      <x:c r="AC55" s="808"/>
      <x:c r="AD55" s="808"/>
      <x:c r="AE55" s="808"/>
      <x:c r="AF55" s="808"/>
    </x:row>
    <x:row r="56" outlineLevel="1">
      <x:c r="A56" s="335" t="str">
        <x:v>Margins in Logical Range</x:v>
      </x:c>
      <x:c r="B56" s="335" t="str">
        <x:f>IF(AND(MIN(B8:I10)&gt;-100%,MAX(B8:I10)&lt;100%),"OK","CHECK")</x:f>
      </x:c>
      <x:c r="C56" s="335"/>
      <x:c r="D56" s="335"/>
      <x:c r="E56" s="335"/>
      <x:c r="F56" s="335"/>
      <x:c r="G56" s="335"/>
      <x:c r="H56" s="335"/>
      <x:c r="I56" s="335"/>
      <x:c r="J56" s="335"/>
      <x:c r="K56" s="628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  <x:c r="V56" s="628"/>
      <x:c r="X56" s="808"/>
      <x:c r="Y56" s="808"/>
      <x:c r="Z56" s="808"/>
      <x:c r="AA56" s="808"/>
      <x:c r="AB56" s="808"/>
      <x:c r="AC56" s="808"/>
      <x:c r="AD56" s="808"/>
      <x:c r="AE56" s="808"/>
      <x:c r="AF56" s="808"/>
    </x:row>
    <x:row r="57" outlineLevel="1">
      <x:c r="A57" s="335" t="str">
        <x:v>Scenario Ordering</x:v>
      </x:c>
      <x:c r="B57" s="335" t="str">
        <x:f>IF(AND(B44&lt;C44,C44&lt;D44,B48&lt;C48,C48&lt;D48),"OK","CHECK")</x:f>
      </x:c>
      <x:c r="C57" s="335"/>
      <x:c r="D57" s="335"/>
      <x:c r="E57" s="335"/>
      <x:c r="F57" s="335"/>
      <x:c r="G57" s="335"/>
      <x:c r="H57" s="335"/>
      <x:c r="I57" s="335"/>
      <x:c r="J57" s="335"/>
      <x:c r="K57" s="628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  <x:c r="V57" s="628"/>
      <x:c r="X57" s="808"/>
      <x:c r="Y57" s="808"/>
      <x:c r="Z57" s="808"/>
      <x:c r="AA57" s="808"/>
      <x:c r="AB57" s="808"/>
      <x:c r="AC57" s="808"/>
      <x:c r="AD57" s="808"/>
      <x:c r="AE57" s="808"/>
      <x:c r="AF57" s="808"/>
    </x:row>
    <x:row r="58" outlineLevel="1">
      <x:c r="A58" s="335" t="str">
        <x:v>Benchmark Median In Range</x:v>
      </x:c>
      <x:c r="B58" s="335" t="str">
        <x:f>IF(AND(D25&gt;=C25,D25&lt;=E25,D26&gt;=C26,D26&lt;=E26,D27&gt;=C27,D27&lt;=E27,D28&gt;=C28,D28&lt;=E28),"OK","CHECK")</x:f>
      </x:c>
      <x:c r="C58" s="335"/>
      <x:c r="D58" s="335"/>
      <x:c r="E58" s="335"/>
      <x:c r="F58" s="335"/>
      <x:c r="G58" s="335"/>
      <x:c r="H58" s="335"/>
      <x:c r="I58" s="335"/>
      <x:c r="J58" s="335"/>
      <x:c r="K58" s="628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  <x:c r="V58" s="628"/>
      <x:c r="X58" s="808"/>
      <x:c r="Y58" s="808"/>
      <x:c r="Z58" s="808"/>
      <x:c r="AA58" s="808"/>
      <x:c r="AB58" s="808"/>
      <x:c r="AC58" s="808"/>
      <x:c r="AD58" s="808"/>
      <x:c r="AE58" s="808"/>
      <x:c r="AF58" s="808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  <x:c r="I59" s="335"/>
      <x:c r="J59" s="335"/>
      <x:c r="K59" s="628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  <x:c r="V59" s="628"/>
      <x:c r="X59" s="808"/>
      <x:c r="Y59" s="808"/>
      <x:c r="Z59" s="808"/>
      <x:c r="AA59" s="808"/>
      <x:c r="AB59" s="808"/>
      <x:c r="AC59" s="808"/>
      <x:c r="AD59" s="808"/>
      <x:c r="AE59" s="808"/>
      <x:c r="AF59" s="808"/>
    </x:row>
    <x:row r="60" outlineLevel="1">
      <x:c r="A60" s="335"/>
      <x:c r="B60" s="335"/>
      <x:c r="C60" s="335"/>
      <x:c r="D60" s="335"/>
      <x:c r="E60" s="335"/>
      <x:c r="F60" s="335"/>
      <x:c r="G60" s="335"/>
      <x:c r="H60" s="335"/>
      <x:c r="I60" s="335"/>
      <x:c r="J60" s="335"/>
      <x:c r="K60" s="628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  <x:c r="V60" s="628"/>
      <x:c r="X60" s="808"/>
      <x:c r="Y60" s="808"/>
      <x:c r="Z60" s="808"/>
      <x:c r="AA60" s="808"/>
      <x:c r="AB60" s="808"/>
      <x:c r="AC60" s="808"/>
      <x:c r="AD60" s="808"/>
      <x:c r="AE60" s="808"/>
      <x:c r="AF60" s="808"/>
    </x:row>
    <x:row r="6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628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  <x:c r="V61" s="628"/>
      <x:c r="X61" s="808"/>
      <x:c r="Y61" s="808"/>
      <x:c r="Z61" s="808"/>
      <x:c r="AA61" s="808"/>
      <x:c r="AB61" s="808"/>
      <x:c r="AC61" s="808"/>
      <x:c r="AD61" s="808"/>
      <x:c r="AE61" s="808"/>
      <x:c r="AF61" s="808"/>
    </x:row>
    <x:row r="62">
      <x:c r="A62" s="604" t="str">
        <x:v>Full Trend Analysis</x:v>
      </x:c>
      <x:c r="B62" s="604"/>
      <x:c r="C62" s="604"/>
      <x:c r="D62" s="604"/>
      <x:c r="E62" s="604"/>
      <x:c r="F62" s="604"/>
      <x:c r="G62" s="604"/>
      <x:c r="H62" s="604"/>
      <x:c r="I62" s="604"/>
      <x:c r="J62" s="335"/>
      <x:c r="K62" s="628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  <x:c r="V62" s="628"/>
      <x:c r="X62" s="808"/>
      <x:c r="Y62" s="808"/>
      <x:c r="Z62" s="808"/>
      <x:c r="AA62" s="808"/>
      <x:c r="AB62" s="808"/>
      <x:c r="AC62" s="808"/>
      <x:c r="AD62" s="808"/>
      <x:c r="AE62" s="808"/>
      <x:c r="AF62" s="808"/>
    </x:row>
    <x:row r="63" outlineLevel="1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628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  <x:c r="V63" s="628"/>
      <x:c r="X63" s="808"/>
      <x:c r="Y63" s="808"/>
      <x:c r="Z63" s="808"/>
      <x:c r="AA63" s="808"/>
      <x:c r="AB63" s="808"/>
      <x:c r="AC63" s="808"/>
      <x:c r="AD63" s="808"/>
      <x:c r="AE63" s="808"/>
      <x:c r="AF63" s="808"/>
    </x:row>
    <x:row r="64" outlineLevel="1">
      <x:c r="A64" s="817" t="str">
        <x:v>Metric</x:v>
      </x:c>
      <x:c r="B64" s="817" t="str">
        <x:v>2023A</x:v>
      </x:c>
      <x:c r="C64" s="817" t="str">
        <x:v>2024A</x:v>
      </x:c>
      <x:c r="D64" s="817" t="str">
        <x:v>2025A</x:v>
      </x:c>
      <x:c r="E64" s="817" t="str">
        <x:v>2026E</x:v>
      </x:c>
      <x:c r="F64" s="817" t="str">
        <x:v>2027E</x:v>
      </x:c>
      <x:c r="G64" s="817" t="str">
        <x:v>2028E</x:v>
      </x:c>
      <x:c r="H64" s="817" t="str">
        <x:v>2029E</x:v>
      </x:c>
      <x:c r="I64" s="817" t="str">
        <x:v>2030E</x:v>
      </x:c>
      <x:c r="J64" s="816" t="str">
        <x:v>Average</x:v>
      </x:c>
      <x:c r="K64" s="628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  <x:c r="V64" s="628"/>
      <x:c r="X64" s="808"/>
      <x:c r="Y64" s="808"/>
      <x:c r="Z64" s="808"/>
      <x:c r="AA64" s="808"/>
      <x:c r="AB64" s="808"/>
      <x:c r="AC64" s="808"/>
      <x:c r="AD64" s="808"/>
      <x:c r="AE64" s="808"/>
      <x:c r="AF64" s="808"/>
    </x:row>
    <x:row r="65" outlineLevel="1">
      <x:c r="A65" s="406" t="str">
        <x:v>Gross Margin</x:v>
      </x:c>
      <x:c r="B65" s="1159" t="n">
        <x:f>'03_3_Statement_Model'!B10/'03_3_Statement_Model'!B8</x:f>
      </x:c>
      <x:c r="C65" s="1159" t="n">
        <x:f>'03_3_Statement_Model'!C10/'03_3_Statement_Model'!C8</x:f>
      </x:c>
      <x:c r="D65" s="1159" t="n">
        <x:f>'03_3_Statement_Model'!D10/'03_3_Statement_Model'!D8</x:f>
      </x:c>
      <x:c r="E65" s="1159" t="n">
        <x:f>'03_3_Statement_Model'!E10/'03_3_Statement_Model'!E8</x:f>
      </x:c>
      <x:c r="F65" s="1159" t="n">
        <x:f>'03_3_Statement_Model'!F10/'03_3_Statement_Model'!F8</x:f>
      </x:c>
      <x:c r="G65" s="1159" t="n">
        <x:f>'03_3_Statement_Model'!G10/'03_3_Statement_Model'!G8</x:f>
      </x:c>
      <x:c r="H65" s="1159" t="n">
        <x:f>'03_3_Statement_Model'!H10/'03_3_Statement_Model'!H8</x:f>
      </x:c>
      <x:c r="I65" s="1159" t="n">
        <x:f>'03_3_Statement_Model'!I10/'03_3_Statement_Model'!I8</x:f>
      </x:c>
      <x:c r="J65" s="1163" t="n">
        <x:f>AVERAGE(B65:I65)</x:f>
      </x:c>
      <x:c r="K65" s="628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  <x:c r="V65" s="628"/>
      <x:c r="X65" s="808"/>
      <x:c r="Y65" s="808"/>
      <x:c r="Z65" s="808"/>
      <x:c r="AA65" s="808"/>
      <x:c r="AB65" s="808"/>
      <x:c r="AC65" s="808"/>
      <x:c r="AD65" s="808"/>
      <x:c r="AE65" s="808"/>
      <x:c r="AF65" s="808"/>
    </x:row>
    <x:row r="66" outlineLevel="1">
      <x:c r="A66" s="406" t="str">
        <x:v>EBITDA Margin</x:v>
      </x:c>
      <x:c r="B66" s="1159" t="n">
        <x:f>'03_3_Statement_Model'!B15/'03_3_Statement_Model'!B8</x:f>
      </x:c>
      <x:c r="C66" s="1159" t="n">
        <x:f>'03_3_Statement_Model'!C15/'03_3_Statement_Model'!C8</x:f>
      </x:c>
      <x:c r="D66" s="1159" t="n">
        <x:f>'03_3_Statement_Model'!D15/'03_3_Statement_Model'!D8</x:f>
      </x:c>
      <x:c r="E66" s="1159" t="n">
        <x:f>'03_3_Statement_Model'!E15/'03_3_Statement_Model'!E8</x:f>
      </x:c>
      <x:c r="F66" s="1159" t="n">
        <x:f>'03_3_Statement_Model'!F15/'03_3_Statement_Model'!F8</x:f>
      </x:c>
      <x:c r="G66" s="1159" t="n">
        <x:f>'03_3_Statement_Model'!G15/'03_3_Statement_Model'!G8</x:f>
      </x:c>
      <x:c r="H66" s="1159" t="n">
        <x:f>'03_3_Statement_Model'!H15/'03_3_Statement_Model'!H8</x:f>
      </x:c>
      <x:c r="I66" s="1159" t="n">
        <x:f>'03_3_Statement_Model'!I15/'03_3_Statement_Model'!I8</x:f>
      </x:c>
      <x:c r="J66" s="1163" t="n">
        <x:f>AVERAGE(B66:I66)</x:f>
      </x:c>
      <x:c r="K66" s="628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  <x:c r="V66" s="628"/>
      <x:c r="X66" s="808"/>
      <x:c r="Y66" s="808"/>
      <x:c r="Z66" s="808"/>
      <x:c r="AA66" s="808"/>
      <x:c r="AB66" s="808"/>
      <x:c r="AC66" s="808"/>
      <x:c r="AD66" s="808"/>
      <x:c r="AE66" s="808"/>
      <x:c r="AF66" s="808"/>
    </x:row>
    <x:row r="67" outlineLevel="1">
      <x:c r="A67" s="406" t="str">
        <x:v>EBIT Margin</x:v>
      </x:c>
      <x:c r="B67" s="1159" t="n">
        <x:f>'03_3_Statement_Model'!B17/'03_3_Statement_Model'!B8</x:f>
      </x:c>
      <x:c r="C67" s="1159" t="n">
        <x:f>'03_3_Statement_Model'!C17/'03_3_Statement_Model'!C8</x:f>
      </x:c>
      <x:c r="D67" s="1159" t="n">
        <x:f>'03_3_Statement_Model'!D17/'03_3_Statement_Model'!D8</x:f>
      </x:c>
      <x:c r="E67" s="1159" t="n">
        <x:f>'03_3_Statement_Model'!E17/'03_3_Statement_Model'!E8</x:f>
      </x:c>
      <x:c r="F67" s="1159" t="n">
        <x:f>'03_3_Statement_Model'!F17/'03_3_Statement_Model'!F8</x:f>
      </x:c>
      <x:c r="G67" s="1159" t="n">
        <x:f>'03_3_Statement_Model'!G17/'03_3_Statement_Model'!G8</x:f>
      </x:c>
      <x:c r="H67" s="1159" t="n">
        <x:f>'03_3_Statement_Model'!H17/'03_3_Statement_Model'!H8</x:f>
      </x:c>
      <x:c r="I67" s="1159" t="n">
        <x:f>'03_3_Statement_Model'!I17/'03_3_Statement_Model'!I8</x:f>
      </x:c>
      <x:c r="J67" s="1163" t="n">
        <x:f>AVERAGE(B67:I67)</x:f>
      </x:c>
      <x:c r="K67" s="628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  <x:c r="V67" s="628"/>
      <x:c r="X67" s="808"/>
      <x:c r="Y67" s="808"/>
      <x:c r="Z67" s="808"/>
      <x:c r="AA67" s="808"/>
      <x:c r="AB67" s="808"/>
      <x:c r="AC67" s="808"/>
      <x:c r="AD67" s="808"/>
      <x:c r="AE67" s="808"/>
      <x:c r="AF67" s="808"/>
    </x:row>
    <x:row r="68" outlineLevel="1">
      <x:c r="A68" s="406" t="str">
        <x:v>Net Profit Margin</x:v>
      </x:c>
      <x:c r="B68" s="1159" t="n">
        <x:f>'03_3_Statement_Model'!B26/'03_3_Statement_Model'!B8</x:f>
      </x:c>
      <x:c r="C68" s="1159" t="n">
        <x:f>'03_3_Statement_Model'!C26/'03_3_Statement_Model'!C8</x:f>
      </x:c>
      <x:c r="D68" s="1159" t="n">
        <x:f>'03_3_Statement_Model'!D26/'03_3_Statement_Model'!D8</x:f>
      </x:c>
      <x:c r="E68" s="1159" t="n">
        <x:f>'03_3_Statement_Model'!E26/'03_3_Statement_Model'!E8</x:f>
      </x:c>
      <x:c r="F68" s="1159" t="n">
        <x:f>'03_3_Statement_Model'!F26/'03_3_Statement_Model'!F8</x:f>
      </x:c>
      <x:c r="G68" s="1159" t="n">
        <x:f>'03_3_Statement_Model'!G26/'03_3_Statement_Model'!G8</x:f>
      </x:c>
      <x:c r="H68" s="1159" t="n">
        <x:f>'03_3_Statement_Model'!H26/'03_3_Statement_Model'!H8</x:f>
      </x:c>
      <x:c r="I68" s="1159" t="n">
        <x:f>'03_3_Statement_Model'!I26/'03_3_Statement_Model'!I8</x:f>
      </x:c>
      <x:c r="J68" s="1163" t="n">
        <x:f>AVERAGE(B68:I68)</x:f>
      </x:c>
      <x:c r="K68" s="628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  <x:c r="V68" s="628"/>
      <x:c r="X68" s="808"/>
      <x:c r="Y68" s="808"/>
      <x:c r="Z68" s="808"/>
      <x:c r="AA68" s="808"/>
      <x:c r="AB68" s="808"/>
      <x:c r="AC68" s="808"/>
      <x:c r="AD68" s="808"/>
      <x:c r="AE68" s="808"/>
      <x:c r="AF68" s="808"/>
    </x:row>
    <x:row r="69" outlineLevel="1">
      <x:c r="A69" s="406" t="str">
        <x:v>ROA</x:v>
      </x:c>
      <x:c r="B69" s="1159" t="n">
        <x:f>'03_3_Statement_Model'!B26/'03_3_Statement_Model'!B61</x:f>
      </x:c>
      <x:c r="C69" s="1159" t="n">
        <x:f>'03_3_Statement_Model'!C26/'03_3_Statement_Model'!C61</x:f>
      </x:c>
      <x:c r="D69" s="1159" t="n">
        <x:f>'03_3_Statement_Model'!D26/'03_3_Statement_Model'!D61</x:f>
      </x:c>
      <x:c r="E69" s="1159" t="n">
        <x:f>'03_3_Statement_Model'!E26/'03_3_Statement_Model'!E61</x:f>
      </x:c>
      <x:c r="F69" s="1159" t="n">
        <x:f>'03_3_Statement_Model'!F26/'03_3_Statement_Model'!F61</x:f>
      </x:c>
      <x:c r="G69" s="1159" t="n">
        <x:f>'03_3_Statement_Model'!G26/'03_3_Statement_Model'!G61</x:f>
      </x:c>
      <x:c r="H69" s="1159" t="n">
        <x:f>'03_3_Statement_Model'!H26/'03_3_Statement_Model'!H61</x:f>
      </x:c>
      <x:c r="I69" s="1159" t="n">
        <x:f>'03_3_Statement_Model'!I26/'03_3_Statement_Model'!I61</x:f>
      </x:c>
      <x:c r="J69" s="1163" t="n">
        <x:f>AVERAGE(B69:I69)</x:f>
      </x:c>
      <x:c r="K69" s="628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  <x:c r="V69" s="628"/>
      <x:c r="X69" s="808"/>
      <x:c r="Y69" s="808"/>
      <x:c r="Z69" s="808"/>
      <x:c r="AA69" s="808"/>
      <x:c r="AB69" s="808"/>
      <x:c r="AC69" s="808"/>
      <x:c r="AD69" s="808"/>
      <x:c r="AE69" s="808"/>
      <x:c r="AF69" s="808"/>
    </x:row>
    <x:row r="70" outlineLevel="1">
      <x:c r="A70" s="406" t="str">
        <x:v>ROE</x:v>
      </x:c>
      <x:c r="B70" s="1159" t="n">
        <x:f>'03_3_Statement_Model'!B26/'03_3_Statement_Model'!B72</x:f>
      </x:c>
      <x:c r="C70" s="1159" t="n">
        <x:f>'03_3_Statement_Model'!C26/'03_3_Statement_Model'!C72</x:f>
      </x:c>
      <x:c r="D70" s="1159" t="n">
        <x:f>'03_3_Statement_Model'!D26/'03_3_Statement_Model'!D72</x:f>
      </x:c>
      <x:c r="E70" s="1159" t="n">
        <x:f>'03_3_Statement_Model'!E26/'03_3_Statement_Model'!E72</x:f>
      </x:c>
      <x:c r="F70" s="1159" t="n">
        <x:f>'03_3_Statement_Model'!F26/'03_3_Statement_Model'!F72</x:f>
      </x:c>
      <x:c r="G70" s="1159" t="n">
        <x:f>'03_3_Statement_Model'!G26/'03_3_Statement_Model'!G72</x:f>
      </x:c>
      <x:c r="H70" s="1159" t="n">
        <x:f>'03_3_Statement_Model'!H26/'03_3_Statement_Model'!H72</x:f>
      </x:c>
      <x:c r="I70" s="1159" t="n">
        <x:f>'03_3_Statement_Model'!I26/'03_3_Statement_Model'!I72</x:f>
      </x:c>
      <x:c r="J70" s="1163" t="n">
        <x:f>AVERAGE(B70:I70)</x:f>
      </x:c>
      <x:c r="K70" s="628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  <x:c r="V70" s="628"/>
      <x:c r="X70" s="808"/>
      <x:c r="Y70" s="808"/>
      <x:c r="Z70" s="808"/>
      <x:c r="AA70" s="808"/>
      <x:c r="AB70" s="808"/>
      <x:c r="AC70" s="808"/>
      <x:c r="AD70" s="808"/>
      <x:c r="AE70" s="808"/>
      <x:c r="AF70" s="808"/>
    </x:row>
    <x:row r="71" outlineLevel="1">
      <x:c r="A71" s="406"/>
      <x:c r="B71" s="406"/>
      <x:c r="C71" s="406"/>
      <x:c r="D71" s="406"/>
      <x:c r="E71" s="406"/>
      <x:c r="F71" s="406"/>
      <x:c r="G71" s="406"/>
      <x:c r="H71" s="406"/>
      <x:c r="I71" s="406"/>
      <x:c r="J71" s="406"/>
      <x:c r="K71" s="628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  <x:c r="V71" s="628"/>
      <x:c r="X71" s="808"/>
      <x:c r="Y71" s="808"/>
      <x:c r="Z71" s="808"/>
      <x:c r="AA71" s="808"/>
      <x:c r="AB71" s="808"/>
      <x:c r="AC71" s="808"/>
      <x:c r="AD71" s="808"/>
      <x:c r="AE71" s="808"/>
      <x:c r="AF71" s="808"/>
    </x:row>
    <x:row r="72" outlineLevel="1">
      <x:c r="A72" s="406" t="str">
        <x:v>Asset Turnover</x:v>
      </x:c>
      <x:c r="B72" s="1161" t="n">
        <x:f>'03_3_Statement_Model'!B8/'03_3_Statement_Model'!B61</x:f>
      </x:c>
      <x:c r="C72" s="1161" t="n">
        <x:f>'03_3_Statement_Model'!C8/'03_3_Statement_Model'!C61</x:f>
      </x:c>
      <x:c r="D72" s="1161" t="n">
        <x:f>'03_3_Statement_Model'!D8/'03_3_Statement_Model'!D61</x:f>
      </x:c>
      <x:c r="E72" s="1161" t="n">
        <x:f>'03_3_Statement_Model'!E8/'03_3_Statement_Model'!E61</x:f>
      </x:c>
      <x:c r="F72" s="1161" t="n">
        <x:f>'03_3_Statement_Model'!F8/'03_3_Statement_Model'!F61</x:f>
      </x:c>
      <x:c r="G72" s="1161" t="n">
        <x:f>'03_3_Statement_Model'!G8/'03_3_Statement_Model'!G61</x:f>
      </x:c>
      <x:c r="H72" s="1161" t="n">
        <x:f>'03_3_Statement_Model'!H8/'03_3_Statement_Model'!H61</x:f>
      </x:c>
      <x:c r="I72" s="1161" t="n">
        <x:f>'03_3_Statement_Model'!I8/'03_3_Statement_Model'!I61</x:f>
      </x:c>
      <x:c r="J72" s="1165" t="n">
        <x:f>AVERAGE(B72:I72)</x:f>
      </x:c>
      <x:c r="K72" s="628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  <x:c r="V72" s="628"/>
      <x:c r="X72" s="808"/>
      <x:c r="Y72" s="808"/>
      <x:c r="Z72" s="808"/>
      <x:c r="AA72" s="808"/>
      <x:c r="AB72" s="808"/>
      <x:c r="AC72" s="808"/>
      <x:c r="AD72" s="808"/>
      <x:c r="AE72" s="808"/>
      <x:c r="AF72" s="808"/>
    </x:row>
    <x:row r="73" outlineLevel="1">
      <x:c r="A73" s="406" t="str">
        <x:v>Cash Days</x:v>
      </x:c>
      <x:c r="B73" s="1170" t="n">
        <x:f>'03_3_Statement_Model'!B57/'03_3_Statement_Model'!B8*365</x:f>
      </x:c>
      <x:c r="C73" s="1170" t="n">
        <x:f>'03_3_Statement_Model'!C57/'03_3_Statement_Model'!C8*365</x:f>
      </x:c>
      <x:c r="D73" s="1170" t="n">
        <x:f>'03_3_Statement_Model'!D57/'03_3_Statement_Model'!D8*365</x:f>
      </x:c>
      <x:c r="E73" s="1170" t="n">
        <x:f>'03_3_Statement_Model'!E57/'03_3_Statement_Model'!E8*365</x:f>
      </x:c>
      <x:c r="F73" s="1170" t="n">
        <x:f>'03_3_Statement_Model'!F57/'03_3_Statement_Model'!F8*365</x:f>
      </x:c>
      <x:c r="G73" s="1170" t="n">
        <x:f>'03_3_Statement_Model'!G57/'03_3_Statement_Model'!G8*365</x:f>
      </x:c>
      <x:c r="H73" s="1170" t="n">
        <x:f>'03_3_Statement_Model'!H57/'03_3_Statement_Model'!H8*365</x:f>
      </x:c>
      <x:c r="I73" s="1170" t="n">
        <x:f>'03_3_Statement_Model'!I57/'03_3_Statement_Model'!I8*365</x:f>
      </x:c>
      <x:c r="J73" s="1171" t="n">
        <x:f>AVERAGE(B73:I73)</x:f>
      </x:c>
      <x:c r="K73" s="628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  <x:c r="V73" s="628"/>
      <x:c r="X73" s="808"/>
      <x:c r="Y73" s="808"/>
      <x:c r="Z73" s="808"/>
      <x:c r="AA73" s="808"/>
      <x:c r="AB73" s="808"/>
      <x:c r="AC73" s="808"/>
      <x:c r="AD73" s="808"/>
      <x:c r="AE73" s="808"/>
      <x:c r="AF73" s="808"/>
    </x:row>
    <x:row r="74" outlineLevel="1">
      <x:c r="A74" s="406" t="str">
        <x:v>A/R Days</x:v>
      </x:c>
      <x:c r="B74" s="1170" t="n">
        <x:f>'02_Operating_Model'!B91</x:f>
      </x:c>
      <x:c r="C74" s="1170" t="n">
        <x:f>'02_Operating_Model'!C91</x:f>
      </x:c>
      <x:c r="D74" s="1170" t="n">
        <x:f>'02_Operating_Model'!D91</x:f>
      </x:c>
      <x:c r="E74" s="1170" t="n">
        <x:f>'02_Operating_Model'!E91</x:f>
      </x:c>
      <x:c r="F74" s="1170" t="n">
        <x:f>'02_Operating_Model'!F91</x:f>
      </x:c>
      <x:c r="G74" s="1170" t="n">
        <x:f>'02_Operating_Model'!G91</x:f>
      </x:c>
      <x:c r="H74" s="1170" t="n">
        <x:f>'02_Operating_Model'!H91</x:f>
      </x:c>
      <x:c r="I74" s="1170" t="n">
        <x:f>'02_Operating_Model'!I91</x:f>
      </x:c>
      <x:c r="J74" s="1171" t="n">
        <x:f>AVERAGE(B74:I74)</x:f>
      </x:c>
      <x:c r="K74" s="628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  <x:c r="V74" s="628"/>
      <x:c r="X74" s="808"/>
      <x:c r="Y74" s="808"/>
      <x:c r="Z74" s="808"/>
      <x:c r="AA74" s="808"/>
      <x:c r="AB74" s="808"/>
      <x:c r="AC74" s="808"/>
      <x:c r="AD74" s="808"/>
      <x:c r="AE74" s="808"/>
      <x:c r="AF74" s="808"/>
    </x:row>
    <x:row r="75" outlineLevel="1">
      <x:c r="A75" s="406" t="str">
        <x:v>Inventory Days</x:v>
      </x:c>
      <x:c r="B75" s="1170" t="n">
        <x:f>'02_Operating_Model'!B92</x:f>
      </x:c>
      <x:c r="C75" s="1170" t="n">
        <x:f>'02_Operating_Model'!C92</x:f>
      </x:c>
      <x:c r="D75" s="1170" t="n">
        <x:f>'02_Operating_Model'!D92</x:f>
      </x:c>
      <x:c r="E75" s="1170" t="n">
        <x:f>'02_Operating_Model'!E92</x:f>
      </x:c>
      <x:c r="F75" s="1170" t="n">
        <x:f>'02_Operating_Model'!F92</x:f>
      </x:c>
      <x:c r="G75" s="1170" t="n">
        <x:f>'02_Operating_Model'!G92</x:f>
      </x:c>
      <x:c r="H75" s="1170" t="n">
        <x:f>'02_Operating_Model'!H92</x:f>
      </x:c>
      <x:c r="I75" s="1170" t="n">
        <x:f>'02_Operating_Model'!I92</x:f>
      </x:c>
      <x:c r="J75" s="1171" t="n">
        <x:f>AVERAGE(B75:I75)</x:f>
      </x:c>
      <x:c r="K75" s="628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  <x:c r="V75" s="628"/>
      <x:c r="X75" s="808"/>
      <x:c r="Y75" s="808"/>
      <x:c r="Z75" s="808"/>
      <x:c r="AA75" s="808"/>
      <x:c r="AB75" s="808"/>
      <x:c r="AC75" s="808"/>
      <x:c r="AD75" s="808"/>
      <x:c r="AE75" s="808"/>
      <x:c r="AF75" s="808"/>
    </x:row>
    <x:row r="76" outlineLevel="1">
      <x:c r="A76" s="406" t="str">
        <x:v>A/P Days</x:v>
      </x:c>
      <x:c r="B76" s="1170" t="n">
        <x:f>'02_Operating_Model'!B93</x:f>
      </x:c>
      <x:c r="C76" s="1170" t="n">
        <x:f>'02_Operating_Model'!C93</x:f>
      </x:c>
      <x:c r="D76" s="1170" t="n">
        <x:f>'02_Operating_Model'!D93</x:f>
      </x:c>
      <x:c r="E76" s="1170" t="n">
        <x:f>'02_Operating_Model'!E93</x:f>
      </x:c>
      <x:c r="F76" s="1170" t="n">
        <x:f>'02_Operating_Model'!F93</x:f>
      </x:c>
      <x:c r="G76" s="1170" t="n">
        <x:f>'02_Operating_Model'!G93</x:f>
      </x:c>
      <x:c r="H76" s="1170" t="n">
        <x:f>'02_Operating_Model'!H93</x:f>
      </x:c>
      <x:c r="I76" s="1170" t="n">
        <x:f>'02_Operating_Model'!I93</x:f>
      </x:c>
      <x:c r="J76" s="1171" t="n">
        <x:f>AVERAGE(B76:I76)</x:f>
      </x:c>
      <x:c r="K76" s="628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  <x:c r="V76" s="628"/>
      <x:c r="X76" s="808"/>
      <x:c r="Y76" s="808"/>
      <x:c r="Z76" s="808"/>
      <x:c r="AA76" s="808"/>
      <x:c r="AB76" s="808"/>
      <x:c r="AC76" s="808"/>
      <x:c r="AD76" s="808"/>
      <x:c r="AE76" s="808"/>
      <x:c r="AF76" s="808"/>
    </x:row>
    <x:row r="77" outlineLevel="1">
      <x:c r="A77" s="406" t="str">
        <x:v>Cash Conversion Cycle</x:v>
      </x:c>
      <x:c r="B77" s="1171" t="n">
        <x:f>B74+B75-B76</x:f>
      </x:c>
      <x:c r="C77" s="1171" t="n">
        <x:f>C74+C75-C76</x:f>
      </x:c>
      <x:c r="D77" s="1171" t="n">
        <x:f>D74+D75-D76</x:f>
      </x:c>
      <x:c r="E77" s="1171" t="n">
        <x:f>E74+E75-E76</x:f>
      </x:c>
      <x:c r="F77" s="1171" t="n">
        <x:f>F74+F75-F76</x:f>
      </x:c>
      <x:c r="G77" s="1171" t="n">
        <x:f>G74+G75-G76</x:f>
      </x:c>
      <x:c r="H77" s="1171" t="n">
        <x:f>H74+H75-H76</x:f>
      </x:c>
      <x:c r="I77" s="1171" t="n">
        <x:f>I74+I75-I76</x:f>
      </x:c>
      <x:c r="J77" s="1171" t="n">
        <x:f>AVERAGE(B77:I77)</x:f>
      </x:c>
      <x:c r="K77" s="628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  <x:c r="V77" s="628"/>
      <x:c r="X77" s="808"/>
      <x:c r="Y77" s="808"/>
      <x:c r="Z77" s="808"/>
      <x:c r="AA77" s="808"/>
      <x:c r="AB77" s="808"/>
      <x:c r="AC77" s="808"/>
      <x:c r="AD77" s="808"/>
      <x:c r="AE77" s="808"/>
      <x:c r="AF77" s="808"/>
    </x:row>
    <x:row r="78" outlineLevel="1">
      <x:c r="A78" s="406"/>
      <x:c r="B78" s="406"/>
      <x:c r="C78" s="406"/>
      <x:c r="D78" s="406"/>
      <x:c r="E78" s="406"/>
      <x:c r="F78" s="406"/>
      <x:c r="G78" s="406"/>
      <x:c r="H78" s="406"/>
      <x:c r="I78" s="406"/>
      <x:c r="J78" s="406"/>
      <x:c r="K78" s="628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  <x:c r="V78" s="628"/>
      <x:c r="X78" s="808"/>
      <x:c r="Y78" s="808"/>
      <x:c r="Z78" s="808"/>
      <x:c r="AA78" s="808"/>
      <x:c r="AB78" s="808"/>
      <x:c r="AC78" s="808"/>
      <x:c r="AD78" s="808"/>
      <x:c r="AE78" s="808"/>
      <x:c r="AF78" s="808"/>
    </x:row>
    <x:row r="79" outlineLevel="1">
      <x:c r="A79" s="406" t="str">
        <x:v>Debt / Equity</x:v>
      </x:c>
      <x:c r="B79" s="1161" t="n">
        <x:f>'03_3_Statement_Model'!B65/'03_3_Statement_Model'!B72</x:f>
      </x:c>
      <x:c r="C79" s="1161" t="n">
        <x:f>'03_3_Statement_Model'!C65/'03_3_Statement_Model'!C72</x:f>
      </x:c>
      <x:c r="D79" s="1161" t="n">
        <x:f>'03_3_Statement_Model'!D65/'03_3_Statement_Model'!D72</x:f>
      </x:c>
      <x:c r="E79" s="1161" t="n">
        <x:f>'03_3_Statement_Model'!E65/'03_3_Statement_Model'!E72</x:f>
      </x:c>
      <x:c r="F79" s="1161" t="n">
        <x:f>'03_3_Statement_Model'!F65/'03_3_Statement_Model'!F72</x:f>
      </x:c>
      <x:c r="G79" s="1161" t="n">
        <x:f>'03_3_Statement_Model'!G65/'03_3_Statement_Model'!G72</x:f>
      </x:c>
      <x:c r="H79" s="1161" t="n">
        <x:f>'03_3_Statement_Model'!H65/'03_3_Statement_Model'!H72</x:f>
      </x:c>
      <x:c r="I79" s="1161" t="n">
        <x:f>'03_3_Statement_Model'!I65/'03_3_Statement_Model'!I72</x:f>
      </x:c>
      <x:c r="J79" s="1165" t="n">
        <x:f>AVERAGE(B79:I79)</x:f>
      </x:c>
      <x:c r="K79" s="628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  <x:c r="V79" s="628"/>
      <x:c r="X79" s="808"/>
      <x:c r="Y79" s="808"/>
      <x:c r="Z79" s="808"/>
      <x:c r="AA79" s="808"/>
      <x:c r="AB79" s="808"/>
      <x:c r="AC79" s="808"/>
      <x:c r="AD79" s="808"/>
      <x:c r="AE79" s="808"/>
      <x:c r="AF79" s="808"/>
    </x:row>
    <x:row r="80" outlineLevel="1">
      <x:c r="A80" s="406" t="str">
        <x:v>Debt / EBITDA</x:v>
      </x:c>
      <x:c r="B80" s="1161" t="n">
        <x:f>'03_3_Statement_Model'!B65/'03_3_Statement_Model'!B15</x:f>
      </x:c>
      <x:c r="C80" s="1161" t="n">
        <x:f>'03_3_Statement_Model'!C65/'03_3_Statement_Model'!C15</x:f>
      </x:c>
      <x:c r="D80" s="1161" t="n">
        <x:f>'03_3_Statement_Model'!D65/'03_3_Statement_Model'!D15</x:f>
      </x:c>
      <x:c r="E80" s="1161" t="n">
        <x:f>'03_3_Statement_Model'!E65/'03_3_Statement_Model'!E15</x:f>
      </x:c>
      <x:c r="F80" s="1161" t="n">
        <x:f>'03_3_Statement_Model'!F65/'03_3_Statement_Model'!F15</x:f>
      </x:c>
      <x:c r="G80" s="1161" t="n">
        <x:f>'03_3_Statement_Model'!G65/'03_3_Statement_Model'!G15</x:f>
      </x:c>
      <x:c r="H80" s="1161" t="n">
        <x:f>'03_3_Statement_Model'!H65/'03_3_Statement_Model'!H15</x:f>
      </x:c>
      <x:c r="I80" s="1161" t="n">
        <x:f>'03_3_Statement_Model'!I65/'03_3_Statement_Model'!I15</x:f>
      </x:c>
      <x:c r="J80" s="1165" t="n">
        <x:f>AVERAGE(B80:I80)</x:f>
      </x:c>
      <x:c r="K80" s="628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  <x:c r="V80" s="628"/>
      <x:c r="X80" s="808"/>
      <x:c r="Y80" s="808"/>
      <x:c r="Z80" s="808"/>
      <x:c r="AA80" s="808"/>
      <x:c r="AB80" s="808"/>
      <x:c r="AC80" s="808"/>
      <x:c r="AD80" s="808"/>
      <x:c r="AE80" s="808"/>
      <x:c r="AF80" s="808"/>
    </x:row>
    <x:row r="81" outlineLevel="1">
      <x:c r="A81" s="406" t="str">
        <x:v>Interest Coverage</x:v>
      </x:c>
      <x:c r="B81" s="1161" t="n">
        <x:f>IFERROR('03_3_Statement_Model'!B17/-'03_3_Statement_Model'!B19,0)</x:f>
      </x:c>
      <x:c r="C81" s="1161" t="n">
        <x:f>IFERROR('03_3_Statement_Model'!C17/-'03_3_Statement_Model'!C19,0)</x:f>
      </x:c>
      <x:c r="D81" s="1161" t="n">
        <x:f>IFERROR('03_3_Statement_Model'!D17/-'03_3_Statement_Model'!D19,0)</x:f>
      </x:c>
      <x:c r="E81" s="1161" t="n">
        <x:f>IFERROR('03_3_Statement_Model'!E17/-'03_3_Statement_Model'!E19,0)</x:f>
      </x:c>
      <x:c r="F81" s="1161" t="n">
        <x:f>IFERROR('03_3_Statement_Model'!F17/-'03_3_Statement_Model'!F19,0)</x:f>
      </x:c>
      <x:c r="G81" s="1161" t="n">
        <x:f>IFERROR('03_3_Statement_Model'!G17/-'03_3_Statement_Model'!G19,0)</x:f>
      </x:c>
      <x:c r="H81" s="1161" t="n">
        <x:f>IFERROR('03_3_Statement_Model'!H17/-'03_3_Statement_Model'!H19,0)</x:f>
      </x:c>
      <x:c r="I81" s="1161" t="n">
        <x:f>IFERROR('03_3_Statement_Model'!I17/-'03_3_Statement_Model'!I19,0)</x:f>
      </x:c>
      <x:c r="J81" s="1165" t="n">
        <x:f>AVERAGE(B81:I81)</x:f>
      </x:c>
      <x:c r="K81" s="628"/>
      <x:c r="L81" s="628"/>
      <x:c r="M81" s="628"/>
      <x:c r="N81" s="628"/>
      <x:c r="O81" s="628"/>
      <x:c r="P81" s="628"/>
      <x:c r="Q81" s="628"/>
      <x:c r="R81" s="628"/>
      <x:c r="S81" s="628"/>
      <x:c r="T81" s="628"/>
      <x:c r="U81" s="628"/>
      <x:c r="V81" s="628"/>
      <x:c r="X81" s="808"/>
      <x:c r="Y81" s="808"/>
      <x:c r="Z81" s="808"/>
      <x:c r="AA81" s="808"/>
      <x:c r="AB81" s="808"/>
      <x:c r="AC81" s="808"/>
      <x:c r="AD81" s="808"/>
      <x:c r="AE81" s="808"/>
      <x:c r="AF81" s="808"/>
    </x:row>
    <x:row r="82" outlineLevel="1">
      <x:c r="A82" s="406" t="str">
        <x:v>Current Ratio</x:v>
      </x:c>
      <x:c r="B82" s="1161" t="n">
        <x:f>('03_3_Statement_Model'!B57+'03_3_Statement_Model'!B58+'03_3_Statement_Model'!B59)/('03_3_Statement_Model'!B64+IFERROR('03_3_Statement_Model'!B125,0))</x:f>
      </x:c>
      <x:c r="C82" s="1161" t="n">
        <x:f>('03_3_Statement_Model'!C57+'03_3_Statement_Model'!C58+'03_3_Statement_Model'!C59)/('03_3_Statement_Model'!C64+IFERROR('03_3_Statement_Model'!C125,0))</x:f>
      </x:c>
      <x:c r="D82" s="1161" t="n">
        <x:f>('03_3_Statement_Model'!D57+'03_3_Statement_Model'!D58+'03_3_Statement_Model'!D59)/('03_3_Statement_Model'!D64+IFERROR('03_3_Statement_Model'!D125,0))</x:f>
      </x:c>
      <x:c r="E82" s="1161" t="n">
        <x:f>('03_3_Statement_Model'!E57+'03_3_Statement_Model'!E58+'03_3_Statement_Model'!E59)/('03_3_Statement_Model'!E64+IFERROR('03_3_Statement_Model'!E125,0))</x:f>
      </x:c>
      <x:c r="F82" s="1161" t="n">
        <x:f>('03_3_Statement_Model'!F57+'03_3_Statement_Model'!F58+'03_3_Statement_Model'!F59)/('03_3_Statement_Model'!F64+IFERROR('03_3_Statement_Model'!F125,0))</x:f>
      </x:c>
      <x:c r="G82" s="1161" t="n">
        <x:f>('03_3_Statement_Model'!G57+'03_3_Statement_Model'!G58+'03_3_Statement_Model'!G59)/('03_3_Statement_Model'!G64+IFERROR('03_3_Statement_Model'!G125,0))</x:f>
      </x:c>
      <x:c r="H82" s="1161" t="n">
        <x:f>('03_3_Statement_Model'!H57+'03_3_Statement_Model'!H58+'03_3_Statement_Model'!H59)/('03_3_Statement_Model'!H64+IFERROR('03_3_Statement_Model'!H125,0))</x:f>
      </x:c>
      <x:c r="I82" s="1161" t="n">
        <x:f>('03_3_Statement_Model'!I57+'03_3_Statement_Model'!I58+'03_3_Statement_Model'!I59)/('03_3_Statement_Model'!I64+IFERROR('03_3_Statement_Model'!I125,0))</x:f>
      </x:c>
      <x:c r="J82" s="1165" t="n">
        <x:f>AVERAGE(B82:I82)</x:f>
      </x:c>
      <x:c r="K82" s="628"/>
      <x:c r="L82" s="628"/>
      <x:c r="M82" s="628"/>
      <x:c r="N82" s="628"/>
      <x:c r="O82" s="628"/>
      <x:c r="P82" s="628"/>
      <x:c r="Q82" s="628"/>
      <x:c r="R82" s="628"/>
      <x:c r="S82" s="628"/>
      <x:c r="T82" s="628"/>
      <x:c r="U82" s="628"/>
      <x:c r="V82" s="628"/>
      <x:c r="X82" s="808"/>
      <x:c r="Y82" s="808"/>
      <x:c r="Z82" s="808"/>
      <x:c r="AA82" s="808"/>
      <x:c r="AB82" s="808"/>
      <x:c r="AC82" s="808"/>
      <x:c r="AD82" s="808"/>
      <x:c r="AE82" s="808"/>
      <x:c r="AF82" s="808"/>
    </x:row>
    <x:row r="83" outlineLevel="1">
      <x:c r="A83" s="406" t="str">
        <x:v>Quick Ratio</x:v>
      </x:c>
      <x:c r="B83" s="1161" t="n">
        <x:f>('03_3_Statement_Model'!B57+'03_3_Statement_Model'!B58)/('03_3_Statement_Model'!B64+IFERROR('03_3_Statement_Model'!B125,0))</x:f>
      </x:c>
      <x:c r="C83" s="1161" t="n">
        <x:f>('03_3_Statement_Model'!C57+'03_3_Statement_Model'!C58)/('03_3_Statement_Model'!C64+IFERROR('03_3_Statement_Model'!C125,0))</x:f>
      </x:c>
      <x:c r="D83" s="1161" t="n">
        <x:f>('03_3_Statement_Model'!D57+'03_3_Statement_Model'!D58)/('03_3_Statement_Model'!D64+IFERROR('03_3_Statement_Model'!D125,0))</x:f>
      </x:c>
      <x:c r="E83" s="1161" t="n">
        <x:f>('03_3_Statement_Model'!E57+'03_3_Statement_Model'!E58)/('03_3_Statement_Model'!E64+IFERROR('03_3_Statement_Model'!E125,0))</x:f>
      </x:c>
      <x:c r="F83" s="1161" t="n">
        <x:f>('03_3_Statement_Model'!F57+'03_3_Statement_Model'!F58)/('03_3_Statement_Model'!F64+IFERROR('03_3_Statement_Model'!F125,0))</x:f>
      </x:c>
      <x:c r="G83" s="1161" t="n">
        <x:f>('03_3_Statement_Model'!G57+'03_3_Statement_Model'!G58)/('03_3_Statement_Model'!G64+IFERROR('03_3_Statement_Model'!G125,0))</x:f>
      </x:c>
      <x:c r="H83" s="1161" t="n">
        <x:f>('03_3_Statement_Model'!H57+'03_3_Statement_Model'!H58)/('03_3_Statement_Model'!H64+IFERROR('03_3_Statement_Model'!H125,0))</x:f>
      </x:c>
      <x:c r="I83" s="1161" t="n">
        <x:f>('03_3_Statement_Model'!I57+'03_3_Statement_Model'!I58)/('03_3_Statement_Model'!I64+IFERROR('03_3_Statement_Model'!I125,0))</x:f>
      </x:c>
      <x:c r="J83" s="1165" t="n">
        <x:f>AVERAGE(B83:I83)</x:f>
      </x:c>
      <x:c r="K83" s="628"/>
      <x:c r="L83" s="628"/>
      <x:c r="M83" s="628"/>
      <x:c r="N83" s="628"/>
      <x:c r="O83" s="628"/>
      <x:c r="P83" s="628"/>
      <x:c r="Q83" s="628"/>
      <x:c r="R83" s="628"/>
      <x:c r="S83" s="628"/>
      <x:c r="T83" s="628"/>
      <x:c r="U83" s="628"/>
      <x:c r="V83" s="628"/>
      <x:c r="X83" s="808"/>
      <x:c r="Y83" s="808"/>
      <x:c r="Z83" s="808"/>
      <x:c r="AA83" s="808"/>
      <x:c r="AB83" s="808"/>
      <x:c r="AC83" s="808"/>
      <x:c r="AD83" s="808"/>
      <x:c r="AE83" s="808"/>
      <x:c r="AF83" s="808"/>
    </x:row>
    <x:row r="84" outlineLevel="1">
      <x:c r="A84" s="406"/>
      <x:c r="B84" s="406"/>
      <x:c r="C84" s="406"/>
      <x:c r="D84" s="406"/>
      <x:c r="E84" s="406"/>
      <x:c r="F84" s="406"/>
      <x:c r="G84" s="406"/>
      <x:c r="H84" s="406"/>
      <x:c r="I84" s="406"/>
      <x:c r="J84" s="406"/>
      <x:c r="K84" s="628"/>
      <x:c r="L84" s="628"/>
      <x:c r="M84" s="628"/>
      <x:c r="N84" s="628"/>
      <x:c r="O84" s="628"/>
      <x:c r="P84" s="628"/>
      <x:c r="Q84" s="628"/>
      <x:c r="R84" s="628"/>
      <x:c r="S84" s="628"/>
      <x:c r="T84" s="628"/>
      <x:c r="U84" s="628"/>
      <x:c r="V84" s="628"/>
      <x:c r="X84" s="808"/>
      <x:c r="Y84" s="808"/>
      <x:c r="Z84" s="808"/>
      <x:c r="AA84" s="808"/>
      <x:c r="AB84" s="808"/>
      <x:c r="AC84" s="808"/>
      <x:c r="AD84" s="808"/>
      <x:c r="AE84" s="808"/>
      <x:c r="AF84" s="808"/>
    </x:row>
    <x:row r="85" outlineLevel="1">
      <x:c r="A85" s="406" t="str">
        <x:v>Revenue Growth</x:v>
      </x:c>
      <x:c r="B85" s="408"/>
      <x:c r="C85" s="1159" t="n">
        <x:f>'03_3_Statement_Model'!C8/'03_3_Statement_Model'!B8-1</x:f>
      </x:c>
      <x:c r="D85" s="1159" t="n">
        <x:f>'03_3_Statement_Model'!D8/'03_3_Statement_Model'!C8-1</x:f>
      </x:c>
      <x:c r="E85" s="1159" t="n">
        <x:f>'03_3_Statement_Model'!E8/'03_3_Statement_Model'!D8-1</x:f>
      </x:c>
      <x:c r="F85" s="1159" t="n">
        <x:f>'03_3_Statement_Model'!F8/'03_3_Statement_Model'!E8-1</x:f>
      </x:c>
      <x:c r="G85" s="1159" t="n">
        <x:f>'03_3_Statement_Model'!G8/'03_3_Statement_Model'!F8-1</x:f>
      </x:c>
      <x:c r="H85" s="1159" t="n">
        <x:f>'03_3_Statement_Model'!H8/'03_3_Statement_Model'!G8-1</x:f>
      </x:c>
      <x:c r="I85" s="1159" t="n">
        <x:f>'03_3_Statement_Model'!I8/'03_3_Statement_Model'!H8-1</x:f>
      </x:c>
      <x:c r="J85" s="1163" t="n">
        <x:f>AVERAGE(B85:I85)</x:f>
      </x:c>
      <x:c r="K85" s="628"/>
      <x:c r="L85" s="628"/>
      <x:c r="M85" s="628"/>
      <x:c r="N85" s="628"/>
      <x:c r="O85" s="628"/>
      <x:c r="P85" s="628"/>
      <x:c r="Q85" s="628"/>
      <x:c r="R85" s="628"/>
      <x:c r="S85" s="628"/>
      <x:c r="T85" s="628"/>
      <x:c r="U85" s="628"/>
      <x:c r="V85" s="628"/>
      <x:c r="X85" s="808"/>
      <x:c r="Y85" s="808"/>
      <x:c r="Z85" s="808"/>
      <x:c r="AA85" s="808"/>
      <x:c r="AB85" s="808"/>
      <x:c r="AC85" s="808"/>
      <x:c r="AD85" s="808"/>
      <x:c r="AE85" s="808"/>
      <x:c r="AF85" s="808"/>
    </x:row>
    <x:row r="86" outlineLevel="1">
      <x:c r="A86" s="406" t="str">
        <x:v>EBITDA Growth</x:v>
      </x:c>
      <x:c r="B86" s="408"/>
      <x:c r="C86" s="1159" t="n">
        <x:f>'03_3_Statement_Model'!C15/'03_3_Statement_Model'!B15-1</x:f>
      </x:c>
      <x:c r="D86" s="1159" t="n">
        <x:f>'03_3_Statement_Model'!D15/'03_3_Statement_Model'!C15-1</x:f>
      </x:c>
      <x:c r="E86" s="1159" t="n">
        <x:f>'03_3_Statement_Model'!E15/'03_3_Statement_Model'!D15-1</x:f>
      </x:c>
      <x:c r="F86" s="1159" t="n">
        <x:f>'03_3_Statement_Model'!F15/'03_3_Statement_Model'!E15-1</x:f>
      </x:c>
      <x:c r="G86" s="1159" t="n">
        <x:f>'03_3_Statement_Model'!G15/'03_3_Statement_Model'!F15-1</x:f>
      </x:c>
      <x:c r="H86" s="1159" t="n">
        <x:f>'03_3_Statement_Model'!H15/'03_3_Statement_Model'!G15-1</x:f>
      </x:c>
      <x:c r="I86" s="1159" t="n">
        <x:f>'03_3_Statement_Model'!I15/'03_3_Statement_Model'!H15-1</x:f>
      </x:c>
      <x:c r="J86" s="1163" t="n">
        <x:f>AVERAGE(B86:I86)</x:f>
      </x:c>
      <x:c r="K86" s="628"/>
      <x:c r="L86" s="628"/>
      <x:c r="M86" s="628"/>
      <x:c r="N86" s="628"/>
      <x:c r="O86" s="628"/>
      <x:c r="P86" s="628"/>
      <x:c r="Q86" s="628"/>
      <x:c r="R86" s="628"/>
      <x:c r="S86" s="628"/>
      <x:c r="T86" s="628"/>
      <x:c r="U86" s="628"/>
      <x:c r="V86" s="628"/>
      <x:c r="X86" s="808"/>
      <x:c r="Y86" s="808"/>
      <x:c r="Z86" s="808"/>
      <x:c r="AA86" s="808"/>
      <x:c r="AB86" s="808"/>
      <x:c r="AC86" s="808"/>
      <x:c r="AD86" s="808"/>
      <x:c r="AE86" s="808"/>
      <x:c r="AF86" s="808"/>
    </x:row>
    <x:row r="87" outlineLevel="1">
      <x:c r="A87" s="406" t="str">
        <x:v>Net Income Growth</x:v>
      </x:c>
      <x:c r="B87" s="408"/>
      <x:c r="C87" s="1159" t="n">
        <x:f>'03_3_Statement_Model'!C26/'03_3_Statement_Model'!B26-1</x:f>
      </x:c>
      <x:c r="D87" s="1159" t="n">
        <x:f>'03_3_Statement_Model'!D26/'03_3_Statement_Model'!C26-1</x:f>
      </x:c>
      <x:c r="E87" s="1159" t="n">
        <x:f>'03_3_Statement_Model'!E26/'03_3_Statement_Model'!D26-1</x:f>
      </x:c>
      <x:c r="F87" s="1159" t="n">
        <x:f>'03_3_Statement_Model'!F26/'03_3_Statement_Model'!E26-1</x:f>
      </x:c>
      <x:c r="G87" s="1159" t="n">
        <x:f>'03_3_Statement_Model'!G26/'03_3_Statement_Model'!F26-1</x:f>
      </x:c>
      <x:c r="H87" s="1159" t="n">
        <x:f>'03_3_Statement_Model'!H26/'03_3_Statement_Model'!G26-1</x:f>
      </x:c>
      <x:c r="I87" s="1159" t="n">
        <x:f>'03_3_Statement_Model'!I26/'03_3_Statement_Model'!H26-1</x:f>
      </x:c>
      <x:c r="J87" s="1163" t="n">
        <x:f>AVERAGE(B87:I87)</x:f>
      </x:c>
      <x:c r="K87" s="628"/>
      <x:c r="L87" s="628"/>
      <x:c r="M87" s="628"/>
      <x:c r="N87" s="628"/>
      <x:c r="O87" s="628"/>
      <x:c r="P87" s="628"/>
      <x:c r="Q87" s="628"/>
      <x:c r="R87" s="628"/>
      <x:c r="S87" s="628"/>
      <x:c r="T87" s="628"/>
      <x:c r="U87" s="628"/>
      <x:c r="V87" s="628"/>
      <x:c r="X87" s="808"/>
      <x:c r="Y87" s="808"/>
      <x:c r="Z87" s="808"/>
      <x:c r="AA87" s="808"/>
      <x:c r="AB87" s="808"/>
      <x:c r="AC87" s="808"/>
      <x:c r="AD87" s="808"/>
      <x:c r="AE87" s="808"/>
      <x:c r="AF87" s="808"/>
    </x:row>
    <x:row r="88" outlineLevel="1">
      <x:c r="A88" s="810" t="str">
        <x:v>Total Asset Growth</x:v>
      </x:c>
      <x:c r="B88" s="812"/>
      <x:c r="C88" s="1096" t="n">
        <x:f>'03_3_Statement_Model'!C61/'03_3_Statement_Model'!B61-1</x:f>
      </x:c>
      <x:c r="D88" s="1096" t="n">
        <x:f>'03_3_Statement_Model'!D61/'03_3_Statement_Model'!C61-1</x:f>
      </x:c>
      <x:c r="E88" s="1096" t="n">
        <x:f>'03_3_Statement_Model'!E61/'03_3_Statement_Model'!D61-1</x:f>
      </x:c>
      <x:c r="F88" s="1096" t="n">
        <x:f>'03_3_Statement_Model'!F61/'03_3_Statement_Model'!E61-1</x:f>
      </x:c>
      <x:c r="G88" s="1096" t="n">
        <x:f>'03_3_Statement_Model'!G61/'03_3_Statement_Model'!F61-1</x:f>
      </x:c>
      <x:c r="H88" s="1096" t="n">
        <x:f>'03_3_Statement_Model'!H61/'03_3_Statement_Model'!G61-1</x:f>
      </x:c>
      <x:c r="I88" s="1096" t="n">
        <x:f>'03_3_Statement_Model'!I61/'03_3_Statement_Model'!H61-1</x:f>
      </x:c>
      <x:c r="J88" s="1108" t="n">
        <x:f>AVERAGE(B88:I88)</x:f>
      </x:c>
      <x:c r="K88" s="628"/>
      <x:c r="L88" s="628"/>
      <x:c r="M88" s="628"/>
      <x:c r="N88" s="628"/>
      <x:c r="O88" s="628"/>
      <x:c r="P88" s="628"/>
      <x:c r="Q88" s="628"/>
      <x:c r="R88" s="628"/>
      <x:c r="S88" s="628"/>
      <x:c r="T88" s="628"/>
      <x:c r="U88" s="628"/>
      <x:c r="V88" s="628"/>
      <x:c r="X88" s="808"/>
      <x:c r="Y88" s="808"/>
      <x:c r="Z88" s="808"/>
      <x:c r="AA88" s="808"/>
      <x:c r="AB88" s="808"/>
      <x:c r="AC88" s="808"/>
      <x:c r="AD88" s="808"/>
      <x:c r="AE88" s="808"/>
      <x:c r="AF88" s="808"/>
    </x:row>
    <x:row r="89" outlineLevel="1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628"/>
      <x:c r="L89" s="628"/>
      <x:c r="M89" s="628"/>
      <x:c r="N89" s="628"/>
      <x:c r="O89" s="628"/>
      <x:c r="P89" s="628"/>
      <x:c r="Q89" s="628"/>
      <x:c r="R89" s="628"/>
      <x:c r="S89" s="628"/>
      <x:c r="T89" s="628"/>
      <x:c r="U89" s="628"/>
      <x:c r="V89" s="628"/>
      <x:c r="X89" s="808"/>
      <x:c r="Y89" s="808"/>
      <x:c r="Z89" s="808"/>
      <x:c r="AA89" s="808"/>
      <x:c r="AB89" s="808"/>
      <x:c r="AC89" s="808"/>
      <x:c r="AD89" s="808"/>
      <x:c r="AE89" s="808"/>
      <x:c r="AF89" s="808"/>
    </x:row>
    <x:row r="90" outlineLevel="1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628"/>
      <x:c r="L90" s="628"/>
      <x:c r="M90" s="628"/>
      <x:c r="N90" s="628"/>
      <x:c r="O90" s="628"/>
      <x:c r="P90" s="628"/>
      <x:c r="Q90" s="628"/>
      <x:c r="R90" s="628"/>
      <x:c r="S90" s="628"/>
      <x:c r="T90" s="628"/>
      <x:c r="U90" s="628"/>
      <x:c r="V90" s="628"/>
      <x:c r="X90" s="808"/>
      <x:c r="Y90" s="808"/>
      <x:c r="Z90" s="808"/>
      <x:c r="AA90" s="808"/>
      <x:c r="AB90" s="808"/>
      <x:c r="AC90" s="808"/>
      <x:c r="AD90" s="808"/>
      <x:c r="AE90" s="808"/>
      <x:c r="AF90" s="808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628"/>
      <x:c r="L91" s="628"/>
      <x:c r="M91" s="628"/>
      <x:c r="N91" s="628"/>
      <x:c r="O91" s="628"/>
      <x:c r="P91" s="628"/>
      <x:c r="Q91" s="628"/>
      <x:c r="R91" s="628"/>
      <x:c r="S91" s="628"/>
      <x:c r="T91" s="628"/>
      <x:c r="U91" s="628"/>
      <x:c r="V91" s="628"/>
      <x:c r="X91" s="808"/>
      <x:c r="Y91" s="808"/>
      <x:c r="Z91" s="808"/>
      <x:c r="AA91" s="808"/>
      <x:c r="AB91" s="808"/>
      <x:c r="AC91" s="808"/>
      <x:c r="AD91" s="808"/>
      <x:c r="AE91" s="808"/>
      <x:c r="AF91" s="808"/>
    </x:row>
    <x:row r="92">
      <x:c r="A92" s="604" t="str">
        <x:v>5-Step DuPont Analysis</x:v>
      </x:c>
      <x:c r="B92" s="604"/>
      <x:c r="C92" s="604"/>
      <x:c r="D92" s="604"/>
      <x:c r="E92" s="604"/>
      <x:c r="F92" s="604"/>
      <x:c r="G92" s="604"/>
      <x:c r="H92" s="604"/>
      <x:c r="I92" s="604"/>
      <x:c r="J92" s="335"/>
      <x:c r="K92" s="628"/>
      <x:c r="L92" s="628"/>
      <x:c r="M92" s="628"/>
      <x:c r="N92" s="628"/>
      <x:c r="O92" s="628"/>
      <x:c r="P92" s="628"/>
      <x:c r="Q92" s="628"/>
      <x:c r="R92" s="628"/>
      <x:c r="S92" s="628"/>
      <x:c r="T92" s="628"/>
      <x:c r="U92" s="628"/>
      <x:c r="V92" s="628"/>
      <x:c r="X92" s="808"/>
      <x:c r="Y92" s="808"/>
      <x:c r="Z92" s="808"/>
      <x:c r="AA92" s="808"/>
      <x:c r="AB92" s="808"/>
      <x:c r="AC92" s="808"/>
      <x:c r="AD92" s="808"/>
      <x:c r="AE92" s="808"/>
      <x:c r="AF92" s="808"/>
    </x:row>
    <x:row r="93" outlineLevel="1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628"/>
      <x:c r="L93" s="628"/>
      <x:c r="M93" s="628"/>
      <x:c r="N93" s="628"/>
      <x:c r="O93" s="628"/>
      <x:c r="P93" s="628"/>
      <x:c r="Q93" s="628"/>
      <x:c r="R93" s="628"/>
      <x:c r="S93" s="628"/>
      <x:c r="T93" s="628"/>
      <x:c r="U93" s="628"/>
      <x:c r="V93" s="628"/>
      <x:c r="X93" s="808"/>
      <x:c r="Y93" s="808"/>
      <x:c r="Z93" s="808"/>
      <x:c r="AA93" s="808"/>
      <x:c r="AB93" s="808"/>
      <x:c r="AC93" s="808"/>
      <x:c r="AD93" s="808"/>
      <x:c r="AE93" s="808"/>
      <x:c r="AF93" s="808"/>
    </x:row>
    <x:row r="94" outlineLevel="1">
      <x:c r="A94" s="817" t="str">
        <x:v>Metric</x:v>
      </x:c>
      <x:c r="B94" s="817" t="str">
        <x:v>2023A</x:v>
      </x:c>
      <x:c r="C94" s="817" t="str">
        <x:v>2024A</x:v>
      </x:c>
      <x:c r="D94" s="817" t="str">
        <x:v>2025A</x:v>
      </x:c>
      <x:c r="E94" s="817" t="str">
        <x:v>2026E</x:v>
      </x:c>
      <x:c r="F94" s="817" t="str">
        <x:v>2027E</x:v>
      </x:c>
      <x:c r="G94" s="817" t="str">
        <x:v>2028E</x:v>
      </x:c>
      <x:c r="H94" s="817" t="str">
        <x:v>2029E</x:v>
      </x:c>
      <x:c r="I94" s="817" t="str">
        <x:v>2030E</x:v>
      </x:c>
      <x:c r="J94" s="335"/>
      <x:c r="K94" s="628"/>
      <x:c r="L94" s="628"/>
      <x:c r="M94" s="628"/>
      <x:c r="N94" s="628"/>
      <x:c r="O94" s="628"/>
      <x:c r="P94" s="628"/>
      <x:c r="Q94" s="628"/>
      <x:c r="R94" s="628"/>
      <x:c r="S94" s="628"/>
      <x:c r="T94" s="628"/>
      <x:c r="U94" s="628"/>
      <x:c r="V94" s="628"/>
      <x:c r="X94" s="808"/>
      <x:c r="Y94" s="808"/>
      <x:c r="Z94" s="808"/>
      <x:c r="AA94" s="808"/>
      <x:c r="AB94" s="808"/>
      <x:c r="AC94" s="808"/>
      <x:c r="AD94" s="808"/>
      <x:c r="AE94" s="808"/>
      <x:c r="AF94" s="808"/>
    </x:row>
    <x:row r="95" outlineLevel="1">
      <x:c r="A95" s="406" t="str">
        <x:v>Tax Burden</x:v>
      </x:c>
      <x:c r="B95" s="1159" t="n">
        <x:f>IFERROR('03_3_Statement_Model'!B26/'03_3_Statement_Model'!B20,0)</x:f>
      </x:c>
      <x:c r="C95" s="1159" t="n">
        <x:f>IFERROR('03_3_Statement_Model'!C26/'03_3_Statement_Model'!C20,0)</x:f>
      </x:c>
      <x:c r="D95" s="1159" t="n">
        <x:f>IFERROR('03_3_Statement_Model'!D26/'03_3_Statement_Model'!D20,0)</x:f>
      </x:c>
      <x:c r="E95" s="1159" t="n">
        <x:f>IFERROR('03_3_Statement_Model'!E26/'03_3_Statement_Model'!E20,0)</x:f>
      </x:c>
      <x:c r="F95" s="1159" t="n">
        <x:f>IFERROR('03_3_Statement_Model'!F26/'03_3_Statement_Model'!F20,0)</x:f>
      </x:c>
      <x:c r="G95" s="1159" t="n">
        <x:f>IFERROR('03_3_Statement_Model'!G26/'03_3_Statement_Model'!G20,0)</x:f>
      </x:c>
      <x:c r="H95" s="1159" t="n">
        <x:f>IFERROR('03_3_Statement_Model'!H26/'03_3_Statement_Model'!H20,0)</x:f>
      </x:c>
      <x:c r="I95" s="1159" t="n">
        <x:f>IFERROR('03_3_Statement_Model'!I26/'03_3_Statement_Model'!I20,0)</x:f>
      </x:c>
      <x:c r="J95" s="335"/>
      <x:c r="K95" s="628"/>
      <x:c r="L95" s="628"/>
      <x:c r="M95" s="628"/>
      <x:c r="N95" s="628"/>
      <x:c r="O95" s="628"/>
      <x:c r="P95" s="628"/>
      <x:c r="Q95" s="628"/>
      <x:c r="R95" s="628"/>
      <x:c r="S95" s="628"/>
      <x:c r="T95" s="628"/>
      <x:c r="U95" s="628"/>
      <x:c r="V95" s="628"/>
      <x:c r="X95" s="808"/>
      <x:c r="Y95" s="808"/>
      <x:c r="Z95" s="808"/>
      <x:c r="AA95" s="808"/>
      <x:c r="AB95" s="808"/>
      <x:c r="AC95" s="808"/>
      <x:c r="AD95" s="808"/>
      <x:c r="AE95" s="808"/>
      <x:c r="AF95" s="808"/>
    </x:row>
    <x:row r="96" outlineLevel="1">
      <x:c r="A96" s="406" t="str">
        <x:v>Interest Burden</x:v>
      </x:c>
      <x:c r="B96" s="1159" t="n">
        <x:f>IFERROR('03_3_Statement_Model'!B20/'03_3_Statement_Model'!B17,0)</x:f>
      </x:c>
      <x:c r="C96" s="1159" t="n">
        <x:f>IFERROR('03_3_Statement_Model'!C20/'03_3_Statement_Model'!C17,0)</x:f>
      </x:c>
      <x:c r="D96" s="1159" t="n">
        <x:f>IFERROR('03_3_Statement_Model'!D20/'03_3_Statement_Model'!D17,0)</x:f>
      </x:c>
      <x:c r="E96" s="1159" t="n">
        <x:f>IFERROR('03_3_Statement_Model'!E20/'03_3_Statement_Model'!E17,0)</x:f>
      </x:c>
      <x:c r="F96" s="1159" t="n">
        <x:f>IFERROR('03_3_Statement_Model'!F20/'03_3_Statement_Model'!F17,0)</x:f>
      </x:c>
      <x:c r="G96" s="1159" t="n">
        <x:f>IFERROR('03_3_Statement_Model'!G20/'03_3_Statement_Model'!G17,0)</x:f>
      </x:c>
      <x:c r="H96" s="1159" t="n">
        <x:f>IFERROR('03_3_Statement_Model'!H20/'03_3_Statement_Model'!H17,0)</x:f>
      </x:c>
      <x:c r="I96" s="1159" t="n">
        <x:f>IFERROR('03_3_Statement_Model'!I20/'03_3_Statement_Model'!I17,0)</x:f>
      </x:c>
      <x:c r="J96" s="335"/>
      <x:c r="K96" s="628"/>
      <x:c r="L96" s="628"/>
      <x:c r="M96" s="628"/>
      <x:c r="N96" s="628"/>
      <x:c r="O96" s="628"/>
      <x:c r="P96" s="628"/>
      <x:c r="Q96" s="628"/>
      <x:c r="R96" s="628"/>
      <x:c r="S96" s="628"/>
      <x:c r="T96" s="628"/>
      <x:c r="U96" s="628"/>
      <x:c r="V96" s="628"/>
      <x:c r="X96" s="808"/>
      <x:c r="Y96" s="808"/>
      <x:c r="Z96" s="808"/>
      <x:c r="AA96" s="808"/>
      <x:c r="AB96" s="808"/>
      <x:c r="AC96" s="808"/>
      <x:c r="AD96" s="808"/>
      <x:c r="AE96" s="808"/>
      <x:c r="AF96" s="808"/>
    </x:row>
    <x:row r="97" outlineLevel="1">
      <x:c r="A97" s="406" t="str">
        <x:v>EBIT Margin</x:v>
      </x:c>
      <x:c r="B97" s="1159" t="n">
        <x:f>'03_3_Statement_Model'!B17/'03_3_Statement_Model'!B8</x:f>
      </x:c>
      <x:c r="C97" s="1159" t="n">
        <x:f>'03_3_Statement_Model'!C17/'03_3_Statement_Model'!C8</x:f>
      </x:c>
      <x:c r="D97" s="1159" t="n">
        <x:f>'03_3_Statement_Model'!D17/'03_3_Statement_Model'!D8</x:f>
      </x:c>
      <x:c r="E97" s="1159" t="n">
        <x:f>'03_3_Statement_Model'!E17/'03_3_Statement_Model'!E8</x:f>
      </x:c>
      <x:c r="F97" s="1159" t="n">
        <x:f>'03_3_Statement_Model'!F17/'03_3_Statement_Model'!F8</x:f>
      </x:c>
      <x:c r="G97" s="1159" t="n">
        <x:f>'03_3_Statement_Model'!G17/'03_3_Statement_Model'!G8</x:f>
      </x:c>
      <x:c r="H97" s="1159" t="n">
        <x:f>'03_3_Statement_Model'!H17/'03_3_Statement_Model'!H8</x:f>
      </x:c>
      <x:c r="I97" s="1159" t="n">
        <x:f>'03_3_Statement_Model'!I17/'03_3_Statement_Model'!I8</x:f>
      </x:c>
      <x:c r="J97" s="335"/>
      <x:c r="K97" s="628"/>
      <x:c r="L97" s="628"/>
      <x:c r="M97" s="628"/>
      <x:c r="N97" s="628"/>
      <x:c r="O97" s="628"/>
      <x:c r="P97" s="628"/>
      <x:c r="Q97" s="628"/>
      <x:c r="R97" s="628"/>
      <x:c r="S97" s="628"/>
      <x:c r="T97" s="628"/>
      <x:c r="U97" s="628"/>
      <x:c r="V97" s="628"/>
      <x:c r="X97" s="808"/>
      <x:c r="Y97" s="808"/>
      <x:c r="Z97" s="808"/>
      <x:c r="AA97" s="808"/>
      <x:c r="AB97" s="808"/>
      <x:c r="AC97" s="808"/>
      <x:c r="AD97" s="808"/>
      <x:c r="AE97" s="808"/>
      <x:c r="AF97" s="808"/>
    </x:row>
    <x:row r="98" outlineLevel="1">
      <x:c r="A98" s="406" t="str">
        <x:v>Asset Turnover</x:v>
      </x:c>
      <x:c r="B98" s="1161" t="n">
        <x:f>'03_3_Statement_Model'!B8/'03_3_Statement_Model'!B61</x:f>
      </x:c>
      <x:c r="C98" s="1161" t="n">
        <x:f>'03_3_Statement_Model'!C8/'03_3_Statement_Model'!C61</x:f>
      </x:c>
      <x:c r="D98" s="1161" t="n">
        <x:f>'03_3_Statement_Model'!D8/'03_3_Statement_Model'!D61</x:f>
      </x:c>
      <x:c r="E98" s="1161" t="n">
        <x:f>'03_3_Statement_Model'!E8/'03_3_Statement_Model'!E61</x:f>
      </x:c>
      <x:c r="F98" s="1161" t="n">
        <x:f>'03_3_Statement_Model'!F8/'03_3_Statement_Model'!F61</x:f>
      </x:c>
      <x:c r="G98" s="1161" t="n">
        <x:f>'03_3_Statement_Model'!G8/'03_3_Statement_Model'!G61</x:f>
      </x:c>
      <x:c r="H98" s="1161" t="n">
        <x:f>'03_3_Statement_Model'!H8/'03_3_Statement_Model'!H61</x:f>
      </x:c>
      <x:c r="I98" s="1161" t="n">
        <x:f>'03_3_Statement_Model'!I8/'03_3_Statement_Model'!I61</x:f>
      </x:c>
      <x:c r="J98" s="335"/>
      <x:c r="K98" s="628"/>
      <x:c r="L98" s="628"/>
      <x:c r="M98" s="628"/>
      <x:c r="N98" s="628"/>
      <x:c r="O98" s="628"/>
      <x:c r="P98" s="628"/>
      <x:c r="Q98" s="628"/>
      <x:c r="R98" s="628"/>
      <x:c r="S98" s="628"/>
      <x:c r="T98" s="628"/>
      <x:c r="U98" s="628"/>
      <x:c r="V98" s="628"/>
      <x:c r="X98" s="808"/>
      <x:c r="Y98" s="808"/>
      <x:c r="Z98" s="808"/>
      <x:c r="AA98" s="808"/>
      <x:c r="AB98" s="808"/>
      <x:c r="AC98" s="808"/>
      <x:c r="AD98" s="808"/>
      <x:c r="AE98" s="808"/>
      <x:c r="AF98" s="808"/>
    </x:row>
    <x:row r="99" outlineLevel="1">
      <x:c r="A99" s="406" t="str">
        <x:v>Equity Multiplier</x:v>
      </x:c>
      <x:c r="B99" s="1161" t="n">
        <x:f>'03_3_Statement_Model'!B61/'03_3_Statement_Model'!B72</x:f>
      </x:c>
      <x:c r="C99" s="1161" t="n">
        <x:f>'03_3_Statement_Model'!C61/'03_3_Statement_Model'!C72</x:f>
      </x:c>
      <x:c r="D99" s="1161" t="n">
        <x:f>'03_3_Statement_Model'!D61/'03_3_Statement_Model'!D72</x:f>
      </x:c>
      <x:c r="E99" s="1161" t="n">
        <x:f>'03_3_Statement_Model'!E61/'03_3_Statement_Model'!E72</x:f>
      </x:c>
      <x:c r="F99" s="1161" t="n">
        <x:f>'03_3_Statement_Model'!F61/'03_3_Statement_Model'!F72</x:f>
      </x:c>
      <x:c r="G99" s="1161" t="n">
        <x:f>'03_3_Statement_Model'!G61/'03_3_Statement_Model'!G72</x:f>
      </x:c>
      <x:c r="H99" s="1161" t="n">
        <x:f>'03_3_Statement_Model'!H61/'03_3_Statement_Model'!H72</x:f>
      </x:c>
      <x:c r="I99" s="1161" t="n">
        <x:f>'03_3_Statement_Model'!I61/'03_3_Statement_Model'!I72</x:f>
      </x:c>
      <x:c r="J99" s="335"/>
      <x:c r="K99" s="628"/>
      <x:c r="L99" s="628"/>
      <x:c r="M99" s="628"/>
      <x:c r="N99" s="628"/>
      <x:c r="O99" s="628"/>
      <x:c r="P99" s="628"/>
      <x:c r="Q99" s="628"/>
      <x:c r="R99" s="628"/>
      <x:c r="S99" s="628"/>
      <x:c r="T99" s="628"/>
      <x:c r="U99" s="628"/>
      <x:c r="V99" s="628"/>
      <x:c r="X99" s="808"/>
      <x:c r="Y99" s="808"/>
      <x:c r="Z99" s="808"/>
      <x:c r="AA99" s="808"/>
      <x:c r="AB99" s="808"/>
      <x:c r="AC99" s="808"/>
      <x:c r="AD99" s="808"/>
      <x:c r="AE99" s="808"/>
      <x:c r="AF99" s="808"/>
    </x:row>
    <x:row r="100" outlineLevel="1">
      <x:c r="A100" s="434" t="str">
        <x:v>ROE (5-Step DuPont)</x:v>
      </x:c>
      <x:c r="B100" s="1167" t="n">
        <x:f>PRODUCT(B95:B99)</x:f>
      </x:c>
      <x:c r="C100" s="1167" t="n">
        <x:f>PRODUCT(C95:C99)</x:f>
      </x:c>
      <x:c r="D100" s="1167" t="n">
        <x:f>PRODUCT(D95:D99)</x:f>
      </x:c>
      <x:c r="E100" s="1167" t="n">
        <x:f>PRODUCT(E95:E99)</x:f>
      </x:c>
      <x:c r="F100" s="1167" t="n">
        <x:f>PRODUCT(F95:F99)</x:f>
      </x:c>
      <x:c r="G100" s="1167" t="n">
        <x:f>PRODUCT(G95:G99)</x:f>
      </x:c>
      <x:c r="H100" s="1167" t="n">
        <x:f>PRODUCT(H95:H99)</x:f>
      </x:c>
      <x:c r="I100" s="1167" t="n">
        <x:f>PRODUCT(I95:I99)</x:f>
      </x:c>
      <x:c r="J100" s="335"/>
      <x:c r="K100" s="628"/>
      <x:c r="L100" s="628"/>
      <x:c r="M100" s="628"/>
      <x:c r="N100" s="628"/>
      <x:c r="O100" s="628"/>
      <x:c r="P100" s="628"/>
      <x:c r="Q100" s="628"/>
      <x:c r="R100" s="628"/>
      <x:c r="S100" s="628"/>
      <x:c r="T100" s="628"/>
      <x:c r="U100" s="628"/>
      <x:c r="V100" s="628"/>
      <x:c r="X100" s="808"/>
      <x:c r="Y100" s="808"/>
      <x:c r="Z100" s="808"/>
      <x:c r="AA100" s="808"/>
      <x:c r="AB100" s="808"/>
      <x:c r="AC100" s="808"/>
      <x:c r="AD100" s="808"/>
      <x:c r="AE100" s="808"/>
      <x:c r="AF100" s="808"/>
    </x:row>
    <x:row r="101" outlineLevel="1">
      <x:c r="A101" s="434" t="str">
        <x:v>ROE Direct</x:v>
      </x:c>
      <x:c r="B101" s="1172" t="n">
        <x:f>'03_3_Statement_Model'!B26/'03_3_Statement_Model'!B72</x:f>
      </x:c>
      <x:c r="C101" s="1172" t="n">
        <x:f>'03_3_Statement_Model'!C26/'03_3_Statement_Model'!C72</x:f>
      </x:c>
      <x:c r="D101" s="1172" t="n">
        <x:f>'03_3_Statement_Model'!D26/'03_3_Statement_Model'!D72</x:f>
      </x:c>
      <x:c r="E101" s="1172" t="n">
        <x:f>'03_3_Statement_Model'!E26/'03_3_Statement_Model'!E72</x:f>
      </x:c>
      <x:c r="F101" s="1172" t="n">
        <x:f>'03_3_Statement_Model'!F26/'03_3_Statement_Model'!F72</x:f>
      </x:c>
      <x:c r="G101" s="1172" t="n">
        <x:f>'03_3_Statement_Model'!G26/'03_3_Statement_Model'!G72</x:f>
      </x:c>
      <x:c r="H101" s="1172" t="n">
        <x:f>'03_3_Statement_Model'!H26/'03_3_Statement_Model'!H72</x:f>
      </x:c>
      <x:c r="I101" s="1172" t="n">
        <x:f>'03_3_Statement_Model'!I26/'03_3_Statement_Model'!I72</x:f>
      </x:c>
      <x:c r="J101" s="335"/>
      <x:c r="K101" s="628"/>
      <x:c r="L101" s="628"/>
      <x:c r="M101" s="628"/>
      <x:c r="N101" s="628"/>
      <x:c r="O101" s="628"/>
      <x:c r="P101" s="628"/>
      <x:c r="Q101" s="628"/>
      <x:c r="R101" s="628"/>
      <x:c r="S101" s="628"/>
      <x:c r="T101" s="628"/>
      <x:c r="U101" s="628"/>
      <x:c r="V101" s="628"/>
      <x:c r="X101" s="808"/>
      <x:c r="Y101" s="808"/>
      <x:c r="Z101" s="808"/>
      <x:c r="AA101" s="808"/>
      <x:c r="AB101" s="808"/>
      <x:c r="AC101" s="808"/>
      <x:c r="AD101" s="808"/>
      <x:c r="AE101" s="808"/>
      <x:c r="AF101" s="808"/>
    </x:row>
    <x:row r="102" outlineLevel="1">
      <x:c r="A102" s="406" t="str">
        <x:v>DuPont Reconciliation Check</x:v>
      </x:c>
      <x:c r="B102" s="406" t="str">
        <x:f>IF(ABS(B100-B101)&lt;0.001,"OK","CHECK")</x:f>
      </x:c>
      <x:c r="C102" s="406" t="str">
        <x:f>IF(ABS(C100-C101)&lt;0.001,"OK","CHECK")</x:f>
      </x:c>
      <x:c r="D102" s="406" t="str">
        <x:f>IF(ABS(D100-D101)&lt;0.001,"OK","CHECK")</x:f>
      </x:c>
      <x:c r="E102" s="406" t="str">
        <x:f>IF(ABS(E100-E101)&lt;0.001,"OK","CHECK")</x:f>
      </x:c>
      <x:c r="F102" s="406" t="str">
        <x:f>IF(ABS(F100-F101)&lt;0.001,"OK","CHECK")</x:f>
      </x:c>
      <x:c r="G102" s="406" t="str">
        <x:f>IF(ABS(G100-G101)&lt;0.001,"OK","CHECK")</x:f>
      </x:c>
      <x:c r="H102" s="406" t="str">
        <x:f>IF(ABS(H100-H101)&lt;0.001,"OK","CHECK")</x:f>
      </x:c>
      <x:c r="I102" s="406" t="str">
        <x:f>IF(ABS(I100-I101)&lt;0.001,"OK","CHECK")</x:f>
      </x:c>
      <x:c r="J102" s="335"/>
      <x:c r="K102" s="628"/>
      <x:c r="L102" s="628"/>
      <x:c r="M102" s="628"/>
      <x:c r="N102" s="628"/>
      <x:c r="O102" s="628"/>
      <x:c r="P102" s="628"/>
      <x:c r="Q102" s="628"/>
      <x:c r="R102" s="628"/>
      <x:c r="S102" s="628"/>
      <x:c r="T102" s="628"/>
      <x:c r="U102" s="628"/>
      <x:c r="V102" s="628"/>
      <x:c r="X102" s="808"/>
      <x:c r="Y102" s="808"/>
      <x:c r="Z102" s="808"/>
      <x:c r="AA102" s="808"/>
      <x:c r="AB102" s="808"/>
      <x:c r="AC102" s="808"/>
      <x:c r="AD102" s="808"/>
      <x:c r="AE102" s="808"/>
      <x:c r="AF102" s="808"/>
    </x:row>
    <x:row r="103" outlineLevel="1">
      <x:c r="A103" s="406"/>
      <x:c r="B103" s="406"/>
      <x:c r="C103" s="406"/>
      <x:c r="D103" s="406"/>
      <x:c r="E103" s="406"/>
      <x:c r="F103" s="406"/>
      <x:c r="G103" s="406"/>
      <x:c r="H103" s="406"/>
      <x:c r="I103" s="406"/>
      <x:c r="J103" s="335"/>
      <x:c r="K103" s="628"/>
      <x:c r="L103" s="628"/>
      <x:c r="M103" s="628"/>
      <x:c r="N103" s="628"/>
      <x:c r="O103" s="628"/>
      <x:c r="P103" s="628"/>
      <x:c r="Q103" s="628"/>
      <x:c r="R103" s="628"/>
      <x:c r="S103" s="628"/>
      <x:c r="T103" s="628"/>
      <x:c r="U103" s="628"/>
      <x:c r="V103" s="628"/>
      <x:c r="X103" s="808"/>
      <x:c r="Y103" s="808"/>
      <x:c r="Z103" s="808"/>
      <x:c r="AA103" s="808"/>
      <x:c r="AB103" s="808"/>
      <x:c r="AC103" s="808"/>
      <x:c r="AD103" s="808"/>
      <x:c r="AE103" s="808"/>
      <x:c r="AF103" s="808"/>
    </x:row>
    <x:row r="104" outlineLevel="1">
      <x:c r="A104" s="406"/>
      <x:c r="B104" s="406"/>
      <x:c r="C104" s="406"/>
      <x:c r="D104" s="406"/>
      <x:c r="E104" s="406"/>
      <x:c r="F104" s="406"/>
      <x:c r="G104" s="406"/>
      <x:c r="H104" s="406"/>
      <x:c r="I104" s="406"/>
      <x:c r="J104" s="335"/>
      <x:c r="K104" s="628"/>
      <x:c r="L104" s="628"/>
      <x:c r="M104" s="628"/>
      <x:c r="N104" s="628"/>
      <x:c r="O104" s="628"/>
      <x:c r="P104" s="628"/>
      <x:c r="Q104" s="628"/>
      <x:c r="R104" s="628"/>
      <x:c r="S104" s="628"/>
      <x:c r="T104" s="628"/>
      <x:c r="U104" s="628"/>
      <x:c r="V104" s="628"/>
      <x:c r="X104" s="808"/>
      <x:c r="Y104" s="808"/>
      <x:c r="Z104" s="808"/>
      <x:c r="AA104" s="808"/>
      <x:c r="AB104" s="808"/>
      <x:c r="AC104" s="808"/>
      <x:c r="AD104" s="808"/>
      <x:c r="AE104" s="808"/>
      <x:c r="AF104" s="808"/>
    </x:row>
    <x:row r="105" outlineLevel="1">
      <x:c r="A105" s="810" t="str">
        <x:v>Degree of Total Leverage</x:v>
      </x:c>
      <x:c r="B105" s="810"/>
      <x:c r="C105" s="1162" t="n">
        <x:f>IFERROR(('03_3_Statement_Model'!C26/'03_3_Statement_Model'!B26-1)/('03_3_Statement_Model'!C8/'03_3_Statement_Model'!B8-1),0)</x:f>
      </x:c>
      <x:c r="D105" s="1162" t="n">
        <x:f>IFERROR(('03_3_Statement_Model'!D26/'03_3_Statement_Model'!C26-1)/('03_3_Statement_Model'!D8/'03_3_Statement_Model'!C8-1),0)</x:f>
      </x:c>
      <x:c r="E105" s="1162" t="n">
        <x:f>IFERROR(('03_3_Statement_Model'!E26/'03_3_Statement_Model'!D26-1)/('03_3_Statement_Model'!E8/'03_3_Statement_Model'!D8-1),0)</x:f>
      </x:c>
      <x:c r="F105" s="1162" t="n">
        <x:f>IFERROR(('03_3_Statement_Model'!F26/'03_3_Statement_Model'!E26-1)/('03_3_Statement_Model'!F8/'03_3_Statement_Model'!E8-1),0)</x:f>
      </x:c>
      <x:c r="G105" s="1162" t="n">
        <x:f>IFERROR(('03_3_Statement_Model'!G26/'03_3_Statement_Model'!F26-1)/('03_3_Statement_Model'!G8/'03_3_Statement_Model'!F8-1),0)</x:f>
      </x:c>
      <x:c r="H105" s="1162" t="n">
        <x:f>IFERROR(('03_3_Statement_Model'!H26/'03_3_Statement_Model'!G26-1)/('03_3_Statement_Model'!H8/'03_3_Statement_Model'!G8-1),0)</x:f>
      </x:c>
      <x:c r="I105" s="1162" t="n">
        <x:f>IFERROR(('03_3_Statement_Model'!I26/'03_3_Statement_Model'!H26-1)/('03_3_Statement_Model'!I8/'03_3_Statement_Model'!H8-1),0)</x:f>
      </x:c>
      <x:c r="J105" s="335"/>
      <x:c r="K105" s="628"/>
      <x:c r="L105" s="628"/>
      <x:c r="M105" s="628"/>
      <x:c r="N105" s="628"/>
      <x:c r="O105" s="628"/>
      <x:c r="P105" s="628"/>
      <x:c r="Q105" s="628"/>
      <x:c r="R105" s="628"/>
      <x:c r="S105" s="628"/>
      <x:c r="T105" s="628"/>
      <x:c r="U105" s="628"/>
      <x:c r="V105" s="628"/>
      <x:c r="X105" s="808"/>
      <x:c r="Y105" s="808"/>
      <x:c r="Z105" s="808"/>
      <x:c r="AA105" s="808"/>
      <x:c r="AB105" s="808"/>
      <x:c r="AC105" s="808"/>
      <x:c r="AD105" s="808"/>
      <x:c r="AE105" s="808"/>
      <x:c r="AF105" s="808"/>
    </x:row>
    <x:row r="106" outlineLevel="1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628"/>
      <x:c r="L106" s="628"/>
      <x:c r="M106" s="628"/>
      <x:c r="N106" s="628"/>
      <x:c r="O106" s="628"/>
      <x:c r="P106" s="628"/>
      <x:c r="Q106" s="628"/>
      <x:c r="R106" s="628"/>
      <x:c r="S106" s="628"/>
      <x:c r="T106" s="628"/>
      <x:c r="U106" s="628"/>
      <x:c r="V106" s="628"/>
      <x:c r="X106" s="808"/>
      <x:c r="Y106" s="808"/>
      <x:c r="Z106" s="808"/>
      <x:c r="AA106" s="808"/>
      <x:c r="AB106" s="808"/>
      <x:c r="AC106" s="808"/>
      <x:c r="AD106" s="808"/>
      <x:c r="AE106" s="808"/>
      <x:c r="AF106" s="808"/>
    </x:row>
    <x:row r="107" outlineLevel="1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628"/>
      <x:c r="L107" s="628"/>
      <x:c r="M107" s="628"/>
      <x:c r="N107" s="628"/>
      <x:c r="O107" s="628"/>
      <x:c r="P107" s="628"/>
      <x:c r="Q107" s="628"/>
      <x:c r="R107" s="628"/>
      <x:c r="S107" s="628"/>
      <x:c r="T107" s="628"/>
      <x:c r="U107" s="628"/>
      <x:c r="V107" s="628"/>
      <x:c r="X107" s="808"/>
      <x:c r="Y107" s="808"/>
      <x:c r="Z107" s="808"/>
      <x:c r="AA107" s="808"/>
      <x:c r="AB107" s="808"/>
      <x:c r="AC107" s="808"/>
      <x:c r="AD107" s="808"/>
      <x:c r="AE107" s="808"/>
      <x:c r="AF107" s="808"/>
    </x:row>
    <x:row r="108">
      <x:c r="A108" s="335"/>
      <x:c r="B108" s="335"/>
      <x:c r="C108" s="335"/>
      <x:c r="D108" s="335"/>
      <x:c r="E108" s="335"/>
      <x:c r="F108" s="335"/>
      <x:c r="G108" s="335"/>
      <x:c r="H108" s="335"/>
      <x:c r="I108" s="335"/>
      <x:c r="J108" s="335"/>
      <x:c r="K108" s="628"/>
      <x:c r="L108" s="628"/>
      <x:c r="M108" s="628"/>
      <x:c r="N108" s="628"/>
      <x:c r="O108" s="628"/>
      <x:c r="P108" s="628"/>
      <x:c r="Q108" s="628"/>
      <x:c r="R108" s="628"/>
      <x:c r="S108" s="628"/>
      <x:c r="T108" s="628"/>
      <x:c r="U108" s="628"/>
      <x:c r="V108" s="628"/>
      <x:c r="X108" s="808"/>
      <x:c r="Y108" s="808"/>
      <x:c r="Z108" s="808"/>
      <x:c r="AA108" s="808"/>
      <x:c r="AB108" s="808"/>
      <x:c r="AC108" s="808"/>
      <x:c r="AD108" s="808"/>
      <x:c r="AE108" s="808"/>
      <x:c r="AF108" s="808"/>
    </x:row>
    <x:row r="109">
      <x:c r="A109" s="604" t="str">
        <x:v>Full Benchmarking Framework</x:v>
      </x:c>
      <x:c r="B109" s="604"/>
      <x:c r="C109" s="604"/>
      <x:c r="D109" s="604"/>
      <x:c r="E109" s="604"/>
      <x:c r="F109" s="604"/>
      <x:c r="G109" s="604"/>
      <x:c r="H109" s="335"/>
      <x:c r="I109" s="335"/>
      <x:c r="J109" s="335"/>
      <x:c r="K109" s="628"/>
      <x:c r="L109" s="628"/>
      <x:c r="M109" s="628"/>
      <x:c r="N109" s="628"/>
      <x:c r="O109" s="628"/>
      <x:c r="P109" s="628"/>
      <x:c r="Q109" s="628"/>
      <x:c r="R109" s="628"/>
      <x:c r="S109" s="628"/>
      <x:c r="T109" s="628"/>
      <x:c r="U109" s="628"/>
      <x:c r="V109" s="628"/>
      <x:c r="X109" s="808"/>
      <x:c r="Y109" s="808"/>
      <x:c r="Z109" s="808"/>
      <x:c r="AA109" s="808"/>
      <x:c r="AB109" s="808"/>
      <x:c r="AC109" s="808"/>
      <x:c r="AD109" s="808"/>
      <x:c r="AE109" s="808"/>
      <x:c r="AF109" s="808"/>
    </x:row>
    <x:row r="110" outlineLevel="1">
      <x:c r="A110" s="335"/>
      <x:c r="B110" s="335"/>
      <x:c r="C110" s="335"/>
      <x:c r="D110" s="335"/>
      <x:c r="E110" s="335"/>
      <x:c r="F110" s="335"/>
      <x:c r="G110" s="335"/>
      <x:c r="H110" s="335"/>
      <x:c r="I110" s="335"/>
      <x:c r="J110" s="335"/>
      <x:c r="K110" s="628"/>
      <x:c r="L110" s="628"/>
      <x:c r="M110" s="628"/>
      <x:c r="N110" s="628"/>
      <x:c r="O110" s="628"/>
      <x:c r="P110" s="628"/>
      <x:c r="Q110" s="628"/>
      <x:c r="R110" s="628"/>
      <x:c r="S110" s="628"/>
      <x:c r="T110" s="628"/>
      <x:c r="U110" s="628"/>
      <x:c r="V110" s="628"/>
      <x:c r="X110" s="808"/>
      <x:c r="Y110" s="808"/>
      <x:c r="Z110" s="808"/>
      <x:c r="AA110" s="808"/>
      <x:c r="AB110" s="808"/>
      <x:c r="AC110" s="808"/>
      <x:c r="AD110" s="808"/>
      <x:c r="AE110" s="808"/>
      <x:c r="AF110" s="808"/>
    </x:row>
    <x:row r="111" outlineLevel="1">
      <x:c r="A111" s="817" t="str">
        <x:v>Metric</x:v>
      </x:c>
      <x:c r="B111" s="817" t="str">
        <x:v>DemoCo 2030</x:v>
      </x:c>
      <x:c r="C111" s="817" t="str">
        <x:v>Peer Low</x:v>
      </x:c>
      <x:c r="D111" s="817" t="str">
        <x:v>Peer Median</x:v>
      </x:c>
      <x:c r="E111" s="817" t="str">
        <x:v>Peer High</x:v>
      </x:c>
      <x:c r="F111" s="817" t="str">
        <x:v>Industry</x:v>
      </x:c>
      <x:c r="G111" s="817" t="str">
        <x:v>Position vs Median</x:v>
      </x:c>
      <x:c r="H111" s="335"/>
      <x:c r="I111" s="335"/>
      <x:c r="J111" s="335"/>
      <x:c r="K111" s="628"/>
      <x:c r="L111" s="628"/>
      <x:c r="M111" s="628"/>
      <x:c r="N111" s="628"/>
      <x:c r="O111" s="628"/>
      <x:c r="P111" s="628"/>
      <x:c r="Q111" s="628"/>
      <x:c r="R111" s="628"/>
      <x:c r="S111" s="628"/>
      <x:c r="T111" s="628"/>
      <x:c r="U111" s="628"/>
      <x:c r="V111" s="628"/>
      <x:c r="X111" s="808"/>
      <x:c r="Y111" s="808"/>
      <x:c r="Z111" s="808"/>
      <x:c r="AA111" s="808"/>
      <x:c r="AB111" s="808"/>
      <x:c r="AC111" s="808"/>
      <x:c r="AD111" s="808"/>
      <x:c r="AE111" s="808"/>
      <x:c r="AF111" s="808"/>
    </x:row>
    <x:row r="112" outlineLevel="1">
      <x:c r="A112" s="406" t="str">
        <x:v>Gross Margin</x:v>
      </x:c>
      <x:c r="B112" s="1163" t="n">
        <x:f>I65</x:f>
      </x:c>
      <x:c r="C112" s="1164" t="n">
        <x:v>0.25</x:v>
      </x:c>
      <x:c r="D112" s="1164" t="n">
        <x:v>0.32</x:v>
      </x:c>
      <x:c r="E112" s="1164" t="n">
        <x:v>0.4</x:v>
      </x:c>
      <x:c r="F112" s="1164" t="n">
        <x:v>0.33</x:v>
      </x:c>
      <x:c r="G112" s="406" t="str">
        <x:f>IF(B112&gt;D112,"Above Median",IF(B112&lt;D112,"Below Median","At Median"))</x:f>
      </x:c>
      <x:c r="H112" s="335"/>
      <x:c r="I112" s="335"/>
      <x:c r="J112" s="335"/>
      <x:c r="K112" s="628"/>
      <x:c r="L112" s="628"/>
      <x:c r="M112" s="628"/>
      <x:c r="N112" s="628"/>
      <x:c r="O112" s="628"/>
      <x:c r="P112" s="628"/>
      <x:c r="Q112" s="628"/>
      <x:c r="R112" s="628"/>
      <x:c r="S112" s="628"/>
      <x:c r="T112" s="628"/>
      <x:c r="U112" s="628"/>
      <x:c r="V112" s="628"/>
      <x:c r="X112" s="808"/>
      <x:c r="Y112" s="808"/>
      <x:c r="Z112" s="808"/>
      <x:c r="AA112" s="808"/>
      <x:c r="AB112" s="808"/>
      <x:c r="AC112" s="808"/>
      <x:c r="AD112" s="808"/>
      <x:c r="AE112" s="808"/>
      <x:c r="AF112" s="808"/>
    </x:row>
    <x:row r="113" outlineLevel="1">
      <x:c r="A113" s="406" t="str">
        <x:v>EBITDA Margin</x:v>
      </x:c>
      <x:c r="B113" s="1163" t="n">
        <x:f>I66</x:f>
      </x:c>
      <x:c r="C113" s="1164" t="n">
        <x:v>0.12</x:v>
      </x:c>
      <x:c r="D113" s="1164" t="n">
        <x:v>0.2</x:v>
      </x:c>
      <x:c r="E113" s="1164" t="n">
        <x:v>0.28</x:v>
      </x:c>
      <x:c r="F113" s="1164" t="n">
        <x:v>0.18</x:v>
      </x:c>
      <x:c r="G113" s="406" t="str">
        <x:f>IF(B113&gt;D113,"Above Median",IF(B113&lt;D113,"Below Median","At Median"))</x:f>
      </x:c>
      <x:c r="H113" s="335"/>
      <x:c r="I113" s="335"/>
      <x:c r="J113" s="335"/>
      <x:c r="K113" s="628"/>
      <x:c r="L113" s="628"/>
      <x:c r="M113" s="628"/>
      <x:c r="N113" s="628"/>
      <x:c r="O113" s="628"/>
      <x:c r="P113" s="628"/>
      <x:c r="Q113" s="628"/>
      <x:c r="R113" s="628"/>
      <x:c r="S113" s="628"/>
      <x:c r="T113" s="628"/>
      <x:c r="U113" s="628"/>
      <x:c r="V113" s="628"/>
      <x:c r="X113" s="808"/>
      <x:c r="Y113" s="808"/>
      <x:c r="Z113" s="808"/>
      <x:c r="AA113" s="808"/>
      <x:c r="AB113" s="808"/>
      <x:c r="AC113" s="808"/>
      <x:c r="AD113" s="808"/>
      <x:c r="AE113" s="808"/>
      <x:c r="AF113" s="808"/>
    </x:row>
    <x:row r="114" outlineLevel="1">
      <x:c r="A114" s="406" t="str">
        <x:v>Net Profit Margin</x:v>
      </x:c>
      <x:c r="B114" s="1163" t="n">
        <x:f>I68</x:f>
      </x:c>
      <x:c r="C114" s="1164" t="n">
        <x:v>0.05</x:v>
      </x:c>
      <x:c r="D114" s="1164" t="n">
        <x:v>0.1</x:v>
      </x:c>
      <x:c r="E114" s="1164" t="n">
        <x:v>0.16</x:v>
      </x:c>
      <x:c r="F114" s="1164" t="n">
        <x:v>0.09</x:v>
      </x:c>
      <x:c r="G114" s="406" t="str">
        <x:f>IF(B114&gt;D114,"Above Median",IF(B114&lt;D114,"Below Median","At Median"))</x:f>
      </x:c>
      <x:c r="H114" s="335"/>
      <x:c r="I114" s="335"/>
      <x:c r="J114" s="335"/>
      <x:c r="K114" s="628"/>
      <x:c r="L114" s="628"/>
      <x:c r="M114" s="628"/>
      <x:c r="N114" s="628"/>
      <x:c r="O114" s="628"/>
      <x:c r="P114" s="628"/>
      <x:c r="Q114" s="628"/>
      <x:c r="R114" s="628"/>
      <x:c r="S114" s="628"/>
      <x:c r="T114" s="628"/>
      <x:c r="U114" s="628"/>
      <x:c r="V114" s="628"/>
      <x:c r="X114" s="808"/>
      <x:c r="Y114" s="808"/>
      <x:c r="Z114" s="808"/>
      <x:c r="AA114" s="808"/>
      <x:c r="AB114" s="808"/>
      <x:c r="AC114" s="808"/>
      <x:c r="AD114" s="808"/>
      <x:c r="AE114" s="808"/>
      <x:c r="AF114" s="808"/>
    </x:row>
    <x:row r="115" outlineLevel="1">
      <x:c r="A115" s="406" t="str">
        <x:v>ROA</x:v>
      </x:c>
      <x:c r="B115" s="1163" t="n">
        <x:f>I69</x:f>
      </x:c>
      <x:c r="C115" s="1164" t="n">
        <x:v>0.05</x:v>
      </x:c>
      <x:c r="D115" s="1164" t="n">
        <x:v>0.09</x:v>
      </x:c>
      <x:c r="E115" s="1164" t="n">
        <x:v>0.14</x:v>
      </x:c>
      <x:c r="F115" s="1164" t="n">
        <x:v>0.08</x:v>
      </x:c>
      <x:c r="G115" s="406" t="str">
        <x:f>IF(B115&gt;D115,"Above Median",IF(B115&lt;D115,"Below Median","At Median"))</x:f>
      </x:c>
      <x:c r="H115" s="335"/>
      <x:c r="I115" s="335"/>
      <x:c r="J115" s="335"/>
      <x:c r="K115" s="628"/>
      <x:c r="L115" s="628"/>
      <x:c r="M115" s="628"/>
      <x:c r="N115" s="628"/>
      <x:c r="O115" s="628"/>
      <x:c r="P115" s="628"/>
      <x:c r="Q115" s="628"/>
      <x:c r="R115" s="628"/>
      <x:c r="S115" s="628"/>
      <x:c r="T115" s="628"/>
      <x:c r="U115" s="628"/>
      <x:c r="V115" s="628"/>
      <x:c r="X115" s="808"/>
      <x:c r="Y115" s="808"/>
      <x:c r="Z115" s="808"/>
      <x:c r="AA115" s="808"/>
      <x:c r="AB115" s="808"/>
      <x:c r="AC115" s="808"/>
      <x:c r="AD115" s="808"/>
      <x:c r="AE115" s="808"/>
      <x:c r="AF115" s="808"/>
    </x:row>
    <x:row r="116" outlineLevel="1">
      <x:c r="A116" s="406" t="str">
        <x:v>ROE</x:v>
      </x:c>
      <x:c r="B116" s="1163" t="n">
        <x:f>I70</x:f>
      </x:c>
      <x:c r="C116" s="1164" t="n">
        <x:v>0.1</x:v>
      </x:c>
      <x:c r="D116" s="1164" t="n">
        <x:v>0.18</x:v>
      </x:c>
      <x:c r="E116" s="1164" t="n">
        <x:v>0.28</x:v>
      </x:c>
      <x:c r="F116" s="1164" t="n">
        <x:v>0.17</x:v>
      </x:c>
      <x:c r="G116" s="406" t="str">
        <x:f>IF(B116&gt;D116,"Above Median",IF(B116&lt;D116,"Below Median","At Median"))</x:f>
      </x:c>
      <x:c r="H116" s="335"/>
      <x:c r="I116" s="335"/>
      <x:c r="J116" s="335"/>
      <x:c r="K116" s="628"/>
      <x:c r="L116" s="628"/>
      <x:c r="M116" s="628"/>
      <x:c r="N116" s="628"/>
      <x:c r="O116" s="628"/>
      <x:c r="P116" s="628"/>
      <x:c r="Q116" s="628"/>
      <x:c r="R116" s="628"/>
      <x:c r="S116" s="628"/>
      <x:c r="T116" s="628"/>
      <x:c r="U116" s="628"/>
      <x:c r="V116" s="628"/>
      <x:c r="X116" s="808"/>
      <x:c r="Y116" s="808"/>
      <x:c r="Z116" s="808"/>
      <x:c r="AA116" s="808"/>
      <x:c r="AB116" s="808"/>
      <x:c r="AC116" s="808"/>
      <x:c r="AD116" s="808"/>
      <x:c r="AE116" s="808"/>
      <x:c r="AF116" s="808"/>
    </x:row>
    <x:row r="117" outlineLevel="1">
      <x:c r="A117" s="406" t="str">
        <x:v>Asset Turnover</x:v>
      </x:c>
      <x:c r="B117" s="1165" t="n">
        <x:f>I72</x:f>
      </x:c>
      <x:c r="C117" s="1166" t="n">
        <x:v>0.8</x:v>
      </x:c>
      <x:c r="D117" s="1166" t="n">
        <x:v>1.3</x:v>
      </x:c>
      <x:c r="E117" s="1166" t="n">
        <x:v>1.8</x:v>
      </x:c>
      <x:c r="F117" s="1166" t="n">
        <x:v>1.2</x:v>
      </x:c>
      <x:c r="G117" s="406" t="str">
        <x:f>IF(B117&gt;D117,"Above Median",IF(B117&lt;D117,"Below Median","At Median"))</x:f>
      </x:c>
      <x:c r="H117" s="335"/>
      <x:c r="I117" s="335"/>
      <x:c r="J117" s="335"/>
      <x:c r="K117" s="628"/>
      <x:c r="L117" s="628"/>
      <x:c r="M117" s="628"/>
      <x:c r="N117" s="628"/>
      <x:c r="O117" s="628"/>
      <x:c r="P117" s="628"/>
      <x:c r="Q117" s="628"/>
      <x:c r="R117" s="628"/>
      <x:c r="S117" s="628"/>
      <x:c r="T117" s="628"/>
      <x:c r="U117" s="628"/>
      <x:c r="V117" s="628"/>
      <x:c r="X117" s="808"/>
      <x:c r="Y117" s="808"/>
      <x:c r="Z117" s="808"/>
      <x:c r="AA117" s="808"/>
      <x:c r="AB117" s="808"/>
      <x:c r="AC117" s="808"/>
      <x:c r="AD117" s="808"/>
      <x:c r="AE117" s="808"/>
      <x:c r="AF117" s="808"/>
    </x:row>
    <x:row r="118" outlineLevel="1">
      <x:c r="A118" s="406" t="str">
        <x:v>Cash Conversion Cycle</x:v>
      </x:c>
      <x:c r="B118" s="1171" t="n">
        <x:f>I77</x:f>
      </x:c>
      <x:c r="C118" s="1173" t="n">
        <x:v>-10</x:v>
      </x:c>
      <x:c r="D118" s="1173" t="n">
        <x:v>10</x:v>
      </x:c>
      <x:c r="E118" s="1173" t="n">
        <x:v>35</x:v>
      </x:c>
      <x:c r="F118" s="1173" t="n">
        <x:v>15</x:v>
      </x:c>
      <x:c r="G118" s="406" t="str">
        <x:f>IF(B118&gt;D118,"Above Median",IF(B118&lt;D118,"Below Median","At Median"))</x:f>
      </x:c>
      <x:c r="H118" s="335"/>
      <x:c r="I118" s="335"/>
      <x:c r="J118" s="335"/>
      <x:c r="K118" s="628"/>
      <x:c r="L118" s="628"/>
      <x:c r="M118" s="628"/>
      <x:c r="N118" s="628"/>
      <x:c r="O118" s="628"/>
      <x:c r="P118" s="628"/>
      <x:c r="Q118" s="628"/>
      <x:c r="R118" s="628"/>
      <x:c r="S118" s="628"/>
      <x:c r="T118" s="628"/>
      <x:c r="U118" s="628"/>
      <x:c r="V118" s="628"/>
      <x:c r="X118" s="808"/>
      <x:c r="Y118" s="808"/>
      <x:c r="Z118" s="808"/>
      <x:c r="AA118" s="808"/>
      <x:c r="AB118" s="808"/>
      <x:c r="AC118" s="808"/>
      <x:c r="AD118" s="808"/>
      <x:c r="AE118" s="808"/>
      <x:c r="AF118" s="808"/>
    </x:row>
    <x:row r="119" outlineLevel="1">
      <x:c r="A119" s="406" t="str">
        <x:v>Debt / Equity</x:v>
      </x:c>
      <x:c r="B119" s="1165" t="n">
        <x:f>I79</x:f>
      </x:c>
      <x:c r="C119" s="1166" t="n">
        <x:v>0.4</x:v>
      </x:c>
      <x:c r="D119" s="1166" t="n">
        <x:v>1</x:v>
      </x:c>
      <x:c r="E119" s="1166" t="n">
        <x:v>1.8</x:v>
      </x:c>
      <x:c r="F119" s="1166" t="n">
        <x:v>1.1</x:v>
      </x:c>
      <x:c r="G119" s="406" t="str">
        <x:f>IF(B119&gt;D119,"Above Median",IF(B119&lt;D119,"Below Median","At Median"))</x:f>
      </x:c>
      <x:c r="H119" s="335"/>
      <x:c r="I119" s="335"/>
      <x:c r="J119" s="335"/>
      <x:c r="K119" s="628"/>
      <x:c r="L119" s="628"/>
      <x:c r="M119" s="628"/>
      <x:c r="N119" s="628"/>
      <x:c r="O119" s="628"/>
      <x:c r="P119" s="628"/>
      <x:c r="Q119" s="628"/>
      <x:c r="R119" s="628"/>
      <x:c r="S119" s="628"/>
      <x:c r="T119" s="628"/>
      <x:c r="U119" s="628"/>
      <x:c r="V119" s="628"/>
      <x:c r="X119" s="808"/>
      <x:c r="Y119" s="808"/>
      <x:c r="Z119" s="808"/>
      <x:c r="AA119" s="808"/>
      <x:c r="AB119" s="808"/>
      <x:c r="AC119" s="808"/>
      <x:c r="AD119" s="808"/>
      <x:c r="AE119" s="808"/>
      <x:c r="AF119" s="808"/>
    </x:row>
    <x:row r="120" outlineLevel="1">
      <x:c r="A120" s="406" t="str">
        <x:v>Debt / EBITDA</x:v>
      </x:c>
      <x:c r="B120" s="1165" t="n">
        <x:f>I80</x:f>
      </x:c>
      <x:c r="C120" s="1166" t="n">
        <x:v>0.5</x:v>
      </x:c>
      <x:c r="D120" s="1166" t="n">
        <x:v>1.5</x:v>
      </x:c>
      <x:c r="E120" s="1166" t="n">
        <x:v>3</x:v>
      </x:c>
      <x:c r="F120" s="1166" t="n">
        <x:v>2</x:v>
      </x:c>
      <x:c r="G120" s="406" t="str">
        <x:f>IF(B120&gt;D120,"Above Median",IF(B120&lt;D120,"Below Median","At Median"))</x:f>
      </x:c>
      <x:c r="H120" s="335"/>
      <x:c r="I120" s="335"/>
      <x:c r="J120" s="335"/>
      <x:c r="K120" s="628"/>
      <x:c r="L120" s="628"/>
      <x:c r="M120" s="628"/>
      <x:c r="N120" s="628"/>
      <x:c r="O120" s="628"/>
      <x:c r="P120" s="628"/>
      <x:c r="Q120" s="628"/>
      <x:c r="R120" s="628"/>
      <x:c r="S120" s="628"/>
      <x:c r="T120" s="628"/>
      <x:c r="U120" s="628"/>
      <x:c r="V120" s="628"/>
      <x:c r="X120" s="808"/>
      <x:c r="Y120" s="808"/>
      <x:c r="Z120" s="808"/>
      <x:c r="AA120" s="808"/>
      <x:c r="AB120" s="808"/>
      <x:c r="AC120" s="808"/>
      <x:c r="AD120" s="808"/>
      <x:c r="AE120" s="808"/>
      <x:c r="AF120" s="808"/>
    </x:row>
    <x:row r="121" outlineLevel="1">
      <x:c r="A121" s="406" t="str">
        <x:v>Current Ratio</x:v>
      </x:c>
      <x:c r="B121" s="1165" t="n">
        <x:f>I82</x:f>
      </x:c>
      <x:c r="C121" s="1166" t="n">
        <x:v>0.8</x:v>
      </x:c>
      <x:c r="D121" s="1166" t="n">
        <x:v>1.2</x:v>
      </x:c>
      <x:c r="E121" s="1166" t="n">
        <x:v>1.8</x:v>
      </x:c>
      <x:c r="F121" s="1166" t="n">
        <x:v>1.1</x:v>
      </x:c>
      <x:c r="G121" s="406" t="str">
        <x:f>IF(B121&gt;D121,"Above Median",IF(B121&lt;D121,"Below Median","At Median"))</x:f>
      </x:c>
      <x:c r="H121" s="335"/>
      <x:c r="I121" s="335"/>
      <x:c r="J121" s="335"/>
      <x:c r="K121" s="628"/>
      <x:c r="L121" s="628"/>
      <x:c r="M121" s="628"/>
      <x:c r="N121" s="628"/>
      <x:c r="O121" s="628"/>
      <x:c r="P121" s="628"/>
      <x:c r="Q121" s="628"/>
      <x:c r="R121" s="628"/>
      <x:c r="S121" s="628"/>
      <x:c r="T121" s="628"/>
      <x:c r="U121" s="628"/>
      <x:c r="V121" s="628"/>
      <x:c r="X121" s="808"/>
      <x:c r="Y121" s="808"/>
      <x:c r="Z121" s="808"/>
      <x:c r="AA121" s="808"/>
      <x:c r="AB121" s="808"/>
      <x:c r="AC121" s="808"/>
      <x:c r="AD121" s="808"/>
      <x:c r="AE121" s="808"/>
      <x:c r="AF121" s="808"/>
    </x:row>
    <x:row r="122" outlineLevel="1">
      <x:c r="A122" s="406" t="str">
        <x:v>Quick Ratio</x:v>
      </x:c>
      <x:c r="B122" s="1165" t="n">
        <x:f>I83</x:f>
      </x:c>
      <x:c r="C122" s="1166" t="n">
        <x:v>0.4</x:v>
      </x:c>
      <x:c r="D122" s="1166" t="n">
        <x:v>0.9</x:v>
      </x:c>
      <x:c r="E122" s="1166" t="n">
        <x:v>1.4</x:v>
      </x:c>
      <x:c r="F122" s="1166" t="n">
        <x:v>0.8</x:v>
      </x:c>
      <x:c r="G122" s="406" t="str">
        <x:f>IF(B122&gt;D122,"Above Median",IF(B122&lt;D122,"Below Median","At Median"))</x:f>
      </x:c>
      <x:c r="H122" s="335"/>
      <x:c r="I122" s="335"/>
      <x:c r="J122" s="335"/>
      <x:c r="K122" s="628"/>
      <x:c r="L122" s="628"/>
      <x:c r="M122" s="628"/>
      <x:c r="N122" s="628"/>
      <x:c r="O122" s="628"/>
      <x:c r="P122" s="628"/>
      <x:c r="Q122" s="628"/>
      <x:c r="R122" s="628"/>
      <x:c r="S122" s="628"/>
      <x:c r="T122" s="628"/>
      <x:c r="U122" s="628"/>
      <x:c r="V122" s="628"/>
      <x:c r="X122" s="808"/>
      <x:c r="Y122" s="808"/>
      <x:c r="Z122" s="808"/>
      <x:c r="AA122" s="808"/>
      <x:c r="AB122" s="808"/>
      <x:c r="AC122" s="808"/>
      <x:c r="AD122" s="808"/>
      <x:c r="AE122" s="808"/>
      <x:c r="AF122" s="808"/>
    </x:row>
    <x:row r="123" outlineLevel="1">
      <x:c r="A123" s="406" t="str">
        <x:v>Revenue Growth</x:v>
      </x:c>
      <x:c r="B123" s="1163" t="n">
        <x:f>I85</x:f>
      </x:c>
      <x:c r="C123" s="1164" t="n">
        <x:v>0.02</x:v>
      </x:c>
      <x:c r="D123" s="1164" t="n">
        <x:v>0.05</x:v>
      </x:c>
      <x:c r="E123" s="1164" t="n">
        <x:v>0.1</x:v>
      </x:c>
      <x:c r="F123" s="1164" t="n">
        <x:v>0.04</x:v>
      </x:c>
      <x:c r="G123" s="406" t="str">
        <x:f>IF(B123&gt;D123,"Above Median",IF(B123&lt;D123,"Below Median","At Median"))</x:f>
      </x:c>
      <x:c r="H123" s="335"/>
      <x:c r="I123" s="335"/>
      <x:c r="J123" s="335"/>
      <x:c r="K123" s="628"/>
      <x:c r="L123" s="628"/>
      <x:c r="M123" s="628"/>
      <x:c r="N123" s="628"/>
      <x:c r="O123" s="628"/>
      <x:c r="P123" s="628"/>
      <x:c r="Q123" s="628"/>
      <x:c r="R123" s="628"/>
      <x:c r="S123" s="628"/>
      <x:c r="T123" s="628"/>
      <x:c r="U123" s="628"/>
      <x:c r="V123" s="628"/>
      <x:c r="X123" s="808"/>
      <x:c r="Y123" s="808"/>
      <x:c r="Z123" s="808"/>
      <x:c r="AA123" s="808"/>
      <x:c r="AB123" s="808"/>
      <x:c r="AC123" s="808"/>
      <x:c r="AD123" s="808"/>
      <x:c r="AE123" s="808"/>
      <x:c r="AF123" s="808"/>
    </x:row>
    <x:row r="124" outlineLevel="1">
      <x:c r="A124" s="810" t="str">
        <x:v>EBITDA Growth</x:v>
      </x:c>
      <x:c r="B124" s="1108" t="n">
        <x:f>I86</x:f>
      </x:c>
      <x:c r="C124" s="1087" t="n">
        <x:v>0.02</x:v>
      </x:c>
      <x:c r="D124" s="1087" t="n">
        <x:v>0.06</x:v>
      </x:c>
      <x:c r="E124" s="1087" t="n">
        <x:v>0.12</x:v>
      </x:c>
      <x:c r="F124" s="1087" t="n">
        <x:v>0.07</x:v>
      </x:c>
      <x:c r="G124" s="810" t="str">
        <x:f>IF(B124&gt;D124,"Above Median",IF(B124&lt;D124,"Below Median","At Median"))</x:f>
      </x:c>
      <x:c r="H124" s="335"/>
      <x:c r="I124" s="335"/>
      <x:c r="J124" s="335"/>
      <x:c r="K124" s="628"/>
      <x:c r="L124" s="628"/>
      <x:c r="M124" s="628"/>
      <x:c r="N124" s="628"/>
      <x:c r="O124" s="628"/>
      <x:c r="P124" s="628"/>
      <x:c r="Q124" s="628"/>
      <x:c r="R124" s="628"/>
      <x:c r="S124" s="628"/>
      <x:c r="T124" s="628"/>
      <x:c r="U124" s="628"/>
      <x:c r="V124" s="628"/>
      <x:c r="X124" s="808"/>
      <x:c r="Y124" s="808"/>
      <x:c r="Z124" s="808"/>
      <x:c r="AA124" s="808"/>
      <x:c r="AB124" s="808"/>
      <x:c r="AC124" s="808"/>
      <x:c r="AD124" s="808"/>
      <x:c r="AE124" s="808"/>
      <x:c r="AF124" s="808"/>
    </x:row>
    <x:row r="125" outlineLevel="1">
      <x:c r="A125" s="335"/>
      <x:c r="B125" s="335"/>
      <x:c r="C125" s="335"/>
      <x:c r="D125" s="335"/>
      <x:c r="E125" s="335"/>
      <x:c r="F125" s="335"/>
      <x:c r="G125" s="335"/>
      <x:c r="H125" s="335"/>
      <x:c r="I125" s="335"/>
      <x:c r="J125" s="335"/>
      <x:c r="K125" s="628"/>
      <x:c r="L125" s="628"/>
      <x:c r="M125" s="628"/>
      <x:c r="N125" s="628"/>
      <x:c r="O125" s="628"/>
      <x:c r="P125" s="628"/>
      <x:c r="Q125" s="628"/>
      <x:c r="R125" s="628"/>
      <x:c r="S125" s="628"/>
      <x:c r="T125" s="628"/>
      <x:c r="U125" s="628"/>
      <x:c r="V125" s="628"/>
      <x:c r="X125" s="808"/>
      <x:c r="Y125" s="808"/>
      <x:c r="Z125" s="808"/>
      <x:c r="AA125" s="808"/>
      <x:c r="AB125" s="808"/>
      <x:c r="AC125" s="808"/>
      <x:c r="AD125" s="808"/>
      <x:c r="AE125" s="808"/>
      <x:c r="AF125" s="808"/>
    </x:row>
    <x:row r="126">
      <x:c r="A126" s="335"/>
      <x:c r="B126" s="335"/>
      <x:c r="C126" s="335"/>
      <x:c r="D126" s="335"/>
      <x:c r="E126" s="335"/>
      <x:c r="F126" s="335"/>
      <x:c r="G126" s="335"/>
      <x:c r="H126" s="335"/>
      <x:c r="I126" s="335"/>
      <x:c r="J126" s="335"/>
      <x:c r="K126" s="628"/>
      <x:c r="L126" s="628"/>
      <x:c r="M126" s="628"/>
      <x:c r="N126" s="628"/>
      <x:c r="O126" s="628"/>
      <x:c r="P126" s="628"/>
      <x:c r="Q126" s="628"/>
      <x:c r="R126" s="628"/>
      <x:c r="S126" s="628"/>
      <x:c r="T126" s="628"/>
      <x:c r="U126" s="628"/>
      <x:c r="V126" s="628"/>
      <x:c r="X126" s="808"/>
      <x:c r="Y126" s="808"/>
      <x:c r="Z126" s="808"/>
      <x:c r="AA126" s="808"/>
      <x:c r="AB126" s="808"/>
      <x:c r="AC126" s="808"/>
      <x:c r="AD126" s="808"/>
      <x:c r="AE126" s="808"/>
      <x:c r="AF126" s="808"/>
    </x:row>
    <x:row r="127">
      <x:c r="A127" s="335" t="str">
        <x:v>Benchmark / Trend Checks</x:v>
      </x:c>
      <x:c r="B127" s="335"/>
      <x:c r="C127" s="335"/>
      <x:c r="D127" s="335"/>
      <x:c r="E127" s="335"/>
      <x:c r="F127" s="335"/>
      <x:c r="G127" s="335"/>
      <x:c r="H127" s="335"/>
      <x:c r="I127" s="335"/>
      <x:c r="J127" s="335"/>
      <x:c r="K127" s="628"/>
      <x:c r="L127" s="628"/>
      <x:c r="M127" s="628"/>
      <x:c r="N127" s="628"/>
      <x:c r="O127" s="628"/>
      <x:c r="P127" s="628"/>
      <x:c r="Q127" s="628"/>
      <x:c r="R127" s="628"/>
      <x:c r="S127" s="628"/>
      <x:c r="T127" s="628"/>
      <x:c r="U127" s="628"/>
      <x:c r="V127" s="628"/>
      <x:c r="X127" s="808"/>
      <x:c r="Y127" s="808"/>
      <x:c r="Z127" s="808"/>
      <x:c r="AA127" s="808"/>
      <x:c r="AB127" s="808"/>
      <x:c r="AC127" s="808"/>
      <x:c r="AD127" s="808"/>
      <x:c r="AE127" s="808"/>
      <x:c r="AF127" s="808"/>
    </x:row>
    <x:row r="128" outlineLevel="1">
      <x:c r="A128" s="335" t="str">
        <x:v>5-Step DuPont Reconciles</x:v>
      </x:c>
      <x:c r="B128" s="335" t="str">
        <x:f>IF(COUNTIF(B102:I102,"CHECK")=0,"OK","CHECK")</x:f>
      </x:c>
      <x:c r="C128" s="335"/>
      <x:c r="D128" s="335"/>
      <x:c r="E128" s="335"/>
      <x:c r="F128" s="335"/>
      <x:c r="G128" s="335"/>
      <x:c r="H128" s="335"/>
      <x:c r="I128" s="335"/>
      <x:c r="J128" s="335"/>
      <x:c r="K128" s="628"/>
      <x:c r="L128" s="628"/>
      <x:c r="M128" s="628"/>
      <x:c r="N128" s="628"/>
      <x:c r="O128" s="628"/>
      <x:c r="P128" s="628"/>
      <x:c r="Q128" s="628"/>
      <x:c r="R128" s="628"/>
      <x:c r="S128" s="628"/>
      <x:c r="T128" s="628"/>
      <x:c r="U128" s="628"/>
      <x:c r="V128" s="628"/>
      <x:c r="X128" s="808"/>
      <x:c r="Y128" s="808"/>
      <x:c r="Z128" s="808"/>
      <x:c r="AA128" s="808"/>
      <x:c r="AB128" s="808"/>
      <x:c r="AC128" s="808"/>
      <x:c r="AD128" s="808"/>
      <x:c r="AE128" s="808"/>
      <x:c r="AF128" s="808"/>
    </x:row>
    <x:row r="129" outlineLevel="1">
      <x:c r="A129" s="335" t="str">
        <x:v>Liquidity Ratios Positive</x:v>
      </x:c>
      <x:c r="B129" s="335" t="str">
        <x:f>IF(MIN(B82:I83)&gt;0,"OK","CHECK")</x:f>
      </x:c>
      <x:c r="C129" s="335"/>
      <x:c r="D129" s="335"/>
      <x:c r="E129" s="335"/>
      <x:c r="F129" s="335"/>
      <x:c r="G129" s="335"/>
      <x:c r="H129" s="335"/>
      <x:c r="I129" s="335"/>
      <x:c r="J129" s="335"/>
      <x:c r="K129" s="628"/>
      <x:c r="L129" s="628"/>
      <x:c r="M129" s="628"/>
      <x:c r="N129" s="628"/>
      <x:c r="O129" s="628"/>
      <x:c r="P129" s="628"/>
      <x:c r="Q129" s="628"/>
      <x:c r="R129" s="628"/>
      <x:c r="S129" s="628"/>
      <x:c r="T129" s="628"/>
      <x:c r="U129" s="628"/>
      <x:c r="V129" s="628"/>
      <x:c r="X129" s="808"/>
      <x:c r="Y129" s="808"/>
      <x:c r="Z129" s="808"/>
      <x:c r="AA129" s="808"/>
      <x:c r="AB129" s="808"/>
      <x:c r="AC129" s="808"/>
      <x:c r="AD129" s="808"/>
      <x:c r="AE129" s="808"/>
      <x:c r="AF129" s="808"/>
    </x:row>
    <x:row r="130" outlineLevel="1">
      <x:c r="A130" s="335" t="str">
        <x:v>Benchmark Ranges Ordered</x:v>
      </x:c>
      <x:c r="B130" s="335" t="str">
        <x:f>IF(AND(C112&lt;=D112,D112&lt;=E112,C113&lt;=D113,D113&lt;=E113,C114&lt;=D114,D114&lt;=E114,C119&lt;=D119,D119&lt;=E119),"OK","CHECK")</x:f>
      </x:c>
      <x:c r="C130" s="335"/>
      <x:c r="D130" s="335"/>
      <x:c r="E130" s="335"/>
      <x:c r="F130" s="335"/>
      <x:c r="G130" s="335"/>
      <x:c r="H130" s="335"/>
      <x:c r="I130" s="335"/>
      <x:c r="J130" s="335"/>
      <x:c r="K130" s="628"/>
      <x:c r="L130" s="628"/>
      <x:c r="M130" s="628"/>
      <x:c r="N130" s="628"/>
      <x:c r="O130" s="628"/>
      <x:c r="P130" s="628"/>
      <x:c r="Q130" s="628"/>
      <x:c r="R130" s="628"/>
      <x:c r="S130" s="628"/>
      <x:c r="T130" s="628"/>
      <x:c r="U130" s="628"/>
      <x:c r="V130" s="628"/>
      <x:c r="X130" s="808"/>
      <x:c r="Y130" s="808"/>
      <x:c r="Z130" s="808"/>
      <x:c r="AA130" s="808"/>
      <x:c r="AB130" s="808"/>
      <x:c r="AC130" s="808"/>
      <x:c r="AD130" s="808"/>
      <x:c r="AE130" s="808"/>
      <x:c r="AF130" s="808"/>
    </x:row>
    <x:row r="131" outlineLevel="1">
      <x:c r="A131" s="335"/>
      <x:c r="B131" s="335"/>
      <x:c r="C131" s="335"/>
      <x:c r="D131" s="335"/>
      <x:c r="E131" s="335"/>
      <x:c r="F131" s="335"/>
      <x:c r="G131" s="335"/>
      <x:c r="H131" s="335"/>
      <x:c r="I131" s="335"/>
      <x:c r="J131" s="335"/>
      <x:c r="K131" s="628"/>
      <x:c r="L131" s="628"/>
      <x:c r="M131" s="628"/>
      <x:c r="N131" s="628"/>
      <x:c r="O131" s="628"/>
      <x:c r="P131" s="628"/>
      <x:c r="Q131" s="628"/>
      <x:c r="R131" s="628"/>
      <x:c r="S131" s="628"/>
      <x:c r="T131" s="628"/>
      <x:c r="U131" s="628"/>
      <x:c r="V131" s="628"/>
      <x:c r="X131" s="808"/>
      <x:c r="Y131" s="808"/>
      <x:c r="Z131" s="808"/>
      <x:c r="AA131" s="808"/>
      <x:c r="AB131" s="808"/>
      <x:c r="AC131" s="808"/>
      <x:c r="AD131" s="808"/>
      <x:c r="AE131" s="808"/>
      <x:c r="AF131" s="808"/>
    </x:row>
    <x:row r="132" outlineLevel="1">
      <x:c r="A132" s="335"/>
      <x:c r="B132" s="335"/>
      <x:c r="C132" s="335"/>
      <x:c r="D132" s="335"/>
      <x:c r="E132" s="335"/>
      <x:c r="F132" s="335"/>
      <x:c r="G132" s="335"/>
      <x:c r="H132" s="335"/>
      <x:c r="I132" s="335"/>
      <x:c r="J132" s="335"/>
      <x:c r="K132" s="628"/>
      <x:c r="L132" s="628"/>
      <x:c r="M132" s="628"/>
      <x:c r="N132" s="628"/>
      <x:c r="O132" s="628"/>
      <x:c r="P132" s="628"/>
      <x:c r="Q132" s="628"/>
      <x:c r="R132" s="628"/>
      <x:c r="S132" s="628"/>
      <x:c r="T132" s="628"/>
      <x:c r="U132" s="628"/>
      <x:c r="V132" s="628"/>
      <x:c r="X132" s="808"/>
      <x:c r="Y132" s="808"/>
      <x:c r="Z132" s="808"/>
      <x:c r="AA132" s="808"/>
      <x:c r="AB132" s="808"/>
      <x:c r="AC132" s="808"/>
      <x:c r="AD132" s="808"/>
      <x:c r="AE132" s="808"/>
      <x:c r="AF132" s="808"/>
    </x:row>
    <x:row r="133">
      <x:c r="A133" s="335"/>
      <x:c r="B133" s="335"/>
      <x:c r="C133" s="335"/>
      <x:c r="D133" s="335"/>
      <x:c r="E133" s="335"/>
      <x:c r="F133" s="335"/>
      <x:c r="G133" s="335"/>
      <x:c r="H133" s="335"/>
      <x:c r="I133" s="335"/>
      <x:c r="J133" s="335"/>
      <x:c r="K133" s="628"/>
      <x:c r="L133" s="628"/>
      <x:c r="M133" s="628"/>
      <x:c r="N133" s="628"/>
      <x:c r="O133" s="628"/>
      <x:c r="P133" s="628"/>
      <x:c r="Q133" s="628"/>
      <x:c r="R133" s="628"/>
      <x:c r="S133" s="628"/>
      <x:c r="T133" s="628"/>
      <x:c r="U133" s="628"/>
      <x:c r="V133" s="628"/>
      <x:c r="X133" s="808"/>
      <x:c r="Y133" s="808"/>
      <x:c r="Z133" s="808"/>
      <x:c r="AA133" s="808"/>
      <x:c r="AB133" s="808"/>
      <x:c r="AC133" s="808"/>
      <x:c r="AD133" s="808"/>
      <x:c r="AE133" s="808"/>
      <x:c r="AF133" s="808"/>
    </x:row>
    <x:row r="134">
      <x:c r="A134" s="604"/>
      <x:c r="B134" s="604"/>
      <x:c r="C134" s="604"/>
      <x:c r="D134" s="604"/>
      <x:c r="E134" s="604"/>
      <x:c r="F134" s="604"/>
      <x:c r="G134" s="604"/>
      <x:c r="H134" s="604"/>
      <x:c r="I134" s="335"/>
      <x:c r="J134" s="335"/>
      <x:c r="K134" s="628"/>
      <x:c r="L134" s="628"/>
      <x:c r="M134" s="628"/>
      <x:c r="N134" s="628"/>
      <x:c r="O134" s="628"/>
      <x:c r="P134" s="628"/>
      <x:c r="Q134" s="628"/>
      <x:c r="R134" s="628"/>
      <x:c r="S134" s="628"/>
      <x:c r="T134" s="628"/>
      <x:c r="U134" s="628"/>
      <x:c r="V134" s="628"/>
      <x:c r="X134" s="808"/>
      <x:c r="Y134" s="808"/>
      <x:c r="Z134" s="808"/>
      <x:c r="AA134" s="808"/>
      <x:c r="AB134" s="808"/>
      <x:c r="AC134" s="808"/>
      <x:c r="AD134" s="808"/>
      <x:c r="AE134" s="808"/>
      <x:c r="AF134" s="808"/>
    </x:row>
    <x:row r="135" outlineLevel="1">
      <x:c r="A135" s="335"/>
      <x:c r="B135" s="335"/>
      <x:c r="C135" s="335"/>
      <x:c r="D135" s="335"/>
      <x:c r="E135" s="335"/>
      <x:c r="F135" s="335"/>
      <x:c r="G135" s="335"/>
      <x:c r="H135" s="335"/>
      <x:c r="I135" s="335"/>
      <x:c r="J135" s="335"/>
      <x:c r="K135" s="628"/>
      <x:c r="L135" s="628"/>
      <x:c r="M135" s="628"/>
      <x:c r="N135" s="628"/>
      <x:c r="O135" s="628"/>
      <x:c r="P135" s="628"/>
      <x:c r="Q135" s="628"/>
      <x:c r="R135" s="628"/>
      <x:c r="S135" s="628"/>
      <x:c r="T135" s="628"/>
      <x:c r="U135" s="628"/>
      <x:c r="V135" s="628"/>
      <x:c r="X135" s="808"/>
      <x:c r="Y135" s="808"/>
      <x:c r="Z135" s="808"/>
      <x:c r="AA135" s="808"/>
      <x:c r="AB135" s="808"/>
      <x:c r="AC135" s="808"/>
      <x:c r="AD135" s="808"/>
      <x:c r="AE135" s="808"/>
      <x:c r="AF135" s="808"/>
    </x:row>
    <x:row r="136" outlineLevel="1">
      <x:c r="A136" s="817"/>
      <x:c r="B136" s="817"/>
      <x:c r="C136" s="817"/>
      <x:c r="D136" s="817"/>
      <x:c r="E136" s="817"/>
      <x:c r="F136" s="817"/>
      <x:c r="G136" s="335"/>
      <x:c r="H136" s="335"/>
      <x:c r="I136" s="335"/>
      <x:c r="J136" s="335"/>
      <x:c r="K136" s="628"/>
      <x:c r="L136" s="628"/>
      <x:c r="M136" s="628"/>
      <x:c r="N136" s="628"/>
      <x:c r="O136" s="628"/>
      <x:c r="P136" s="628"/>
      <x:c r="Q136" s="628"/>
      <x:c r="R136" s="628"/>
      <x:c r="S136" s="628"/>
      <x:c r="T136" s="628"/>
      <x:c r="U136" s="628"/>
      <x:c r="V136" s="628"/>
      <x:c r="X136" s="808"/>
      <x:c r="Y136" s="808"/>
      <x:c r="Z136" s="808"/>
      <x:c r="AA136" s="808"/>
      <x:c r="AB136" s="808"/>
      <x:c r="AC136" s="808"/>
      <x:c r="AD136" s="808"/>
      <x:c r="AE136" s="808"/>
      <x:c r="AF136" s="808"/>
    </x:row>
    <x:row r="137" outlineLevel="1">
      <x:c r="A137" s="406"/>
      <x:c r="B137" s="1174"/>
      <x:c r="C137" s="1174"/>
      <x:c r="D137" s="1169"/>
      <x:c r="E137" s="1169"/>
      <x:c r="F137" s="1169"/>
      <x:c r="G137" s="335"/>
      <x:c r="H137" s="335"/>
      <x:c r="I137" s="335"/>
      <x:c r="J137" s="335"/>
      <x:c r="K137" s="628"/>
      <x:c r="L137" s="628"/>
      <x:c r="M137" s="628"/>
      <x:c r="N137" s="628"/>
      <x:c r="O137" s="628"/>
      <x:c r="P137" s="628"/>
      <x:c r="Q137" s="628"/>
      <x:c r="R137" s="628"/>
      <x:c r="S137" s="628"/>
      <x:c r="T137" s="628"/>
      <x:c r="U137" s="628"/>
      <x:c r="V137" s="628"/>
      <x:c r="X137" s="808"/>
      <x:c r="Y137" s="808"/>
      <x:c r="Z137" s="808"/>
      <x:c r="AA137" s="808"/>
      <x:c r="AB137" s="808"/>
      <x:c r="AC137" s="808"/>
      <x:c r="AD137" s="808"/>
      <x:c r="AE137" s="808"/>
      <x:c r="AF137" s="808"/>
    </x:row>
    <x:row r="138" outlineLevel="1">
      <x:c r="A138" s="406"/>
      <x:c r="B138" s="1174"/>
      <x:c r="C138" s="1174"/>
      <x:c r="D138" s="1169"/>
      <x:c r="E138" s="1169"/>
      <x:c r="F138" s="1169"/>
      <x:c r="G138" s="335"/>
      <x:c r="H138" s="335"/>
      <x:c r="I138" s="335"/>
      <x:c r="J138" s="335"/>
      <x:c r="K138" s="628"/>
      <x:c r="L138" s="628"/>
      <x:c r="M138" s="628"/>
      <x:c r="N138" s="628"/>
      <x:c r="O138" s="628"/>
      <x:c r="P138" s="628"/>
      <x:c r="Q138" s="628"/>
      <x:c r="R138" s="628"/>
      <x:c r="S138" s="628"/>
      <x:c r="T138" s="628"/>
      <x:c r="U138" s="628"/>
      <x:c r="V138" s="628"/>
      <x:c r="X138" s="808"/>
      <x:c r="Y138" s="808"/>
      <x:c r="Z138" s="808"/>
      <x:c r="AA138" s="808"/>
      <x:c r="AB138" s="808"/>
      <x:c r="AC138" s="808"/>
      <x:c r="AD138" s="808"/>
      <x:c r="AE138" s="808"/>
      <x:c r="AF138" s="808"/>
    </x:row>
    <x:row r="139" outlineLevel="1">
      <x:c r="A139" s="406"/>
      <x:c r="B139" s="1174"/>
      <x:c r="C139" s="1174"/>
      <x:c r="D139" s="1169"/>
      <x:c r="E139" s="1169"/>
      <x:c r="F139" s="1169"/>
      <x:c r="G139" s="335"/>
      <x:c r="H139" s="335"/>
      <x:c r="I139" s="335"/>
      <x:c r="J139" s="335"/>
      <x:c r="K139" s="628"/>
      <x:c r="L139" s="628"/>
      <x:c r="M139" s="628"/>
      <x:c r="N139" s="628"/>
      <x:c r="O139" s="628"/>
      <x:c r="P139" s="628"/>
      <x:c r="Q139" s="628"/>
      <x:c r="R139" s="628"/>
      <x:c r="S139" s="628"/>
      <x:c r="T139" s="628"/>
      <x:c r="U139" s="628"/>
      <x:c r="V139" s="628"/>
      <x:c r="X139" s="808"/>
      <x:c r="Y139" s="808"/>
      <x:c r="Z139" s="808"/>
      <x:c r="AA139" s="808"/>
      <x:c r="AB139" s="808"/>
      <x:c r="AC139" s="808"/>
      <x:c r="AD139" s="808"/>
      <x:c r="AE139" s="808"/>
      <x:c r="AF139" s="808"/>
    </x:row>
    <x:row r="140" outlineLevel="1">
      <x:c r="A140" s="406"/>
      <x:c r="B140" s="1174"/>
      <x:c r="C140" s="1174"/>
      <x:c r="D140" s="1169"/>
      <x:c r="E140" s="1169"/>
      <x:c r="F140" s="1169"/>
      <x:c r="G140" s="335"/>
      <x:c r="H140" s="335"/>
      <x:c r="I140" s="335"/>
      <x:c r="J140" s="335"/>
      <x:c r="K140" s="628"/>
      <x:c r="L140" s="628"/>
      <x:c r="M140" s="628"/>
      <x:c r="N140" s="628"/>
      <x:c r="O140" s="628"/>
      <x:c r="P140" s="628"/>
      <x:c r="Q140" s="628"/>
      <x:c r="R140" s="628"/>
      <x:c r="S140" s="628"/>
      <x:c r="T140" s="628"/>
      <x:c r="U140" s="628"/>
      <x:c r="V140" s="628"/>
      <x:c r="X140" s="808"/>
      <x:c r="Y140" s="808"/>
      <x:c r="Z140" s="808"/>
      <x:c r="AA140" s="808"/>
      <x:c r="AB140" s="808"/>
      <x:c r="AC140" s="808"/>
      <x:c r="AD140" s="808"/>
      <x:c r="AE140" s="808"/>
      <x:c r="AF140" s="808"/>
    </x:row>
    <x:row r="141" outlineLevel="1">
      <x:c r="A141" s="406"/>
      <x:c r="B141" s="1174"/>
      <x:c r="C141" s="1174"/>
      <x:c r="D141" s="1169"/>
      <x:c r="E141" s="1169"/>
      <x:c r="F141" s="1169"/>
      <x:c r="G141" s="335"/>
      <x:c r="H141" s="335"/>
      <x:c r="I141" s="335"/>
      <x:c r="J141" s="335"/>
      <x:c r="K141" s="628"/>
      <x:c r="L141" s="628"/>
      <x:c r="M141" s="628"/>
      <x:c r="N141" s="628"/>
      <x:c r="O141" s="628"/>
      <x:c r="P141" s="628"/>
      <x:c r="Q141" s="628"/>
      <x:c r="R141" s="628"/>
      <x:c r="S141" s="628"/>
      <x:c r="T141" s="628"/>
      <x:c r="U141" s="628"/>
      <x:c r="V141" s="628"/>
      <x:c r="X141" s="808"/>
      <x:c r="Y141" s="808"/>
      <x:c r="Z141" s="808"/>
      <x:c r="AA141" s="808"/>
      <x:c r="AB141" s="808"/>
      <x:c r="AC141" s="808"/>
      <x:c r="AD141" s="808"/>
      <x:c r="AE141" s="808"/>
      <x:c r="AF141" s="808"/>
    </x:row>
    <x:row r="142" outlineLevel="1">
      <x:c r="A142" s="406"/>
      <x:c r="B142" s="1174"/>
      <x:c r="C142" s="1174"/>
      <x:c r="D142" s="1169"/>
      <x:c r="E142" s="1169"/>
      <x:c r="F142" s="1169"/>
      <x:c r="G142" s="335"/>
      <x:c r="H142" s="335"/>
      <x:c r="I142" s="335"/>
      <x:c r="J142" s="335"/>
      <x:c r="K142" s="628"/>
      <x:c r="L142" s="628"/>
      <x:c r="M142" s="628"/>
      <x:c r="N142" s="628"/>
      <x:c r="O142" s="628"/>
      <x:c r="P142" s="628"/>
      <x:c r="Q142" s="628"/>
      <x:c r="R142" s="628"/>
      <x:c r="S142" s="628"/>
      <x:c r="T142" s="628"/>
      <x:c r="U142" s="628"/>
      <x:c r="V142" s="628"/>
      <x:c r="X142" s="808"/>
      <x:c r="Y142" s="808"/>
      <x:c r="Z142" s="808"/>
      <x:c r="AA142" s="808"/>
      <x:c r="AB142" s="808"/>
      <x:c r="AC142" s="808"/>
      <x:c r="AD142" s="808"/>
      <x:c r="AE142" s="808"/>
      <x:c r="AF142" s="808"/>
    </x:row>
    <x:row r="143" outlineLevel="1">
      <x:c r="A143" s="406"/>
      <x:c r="B143" s="1174"/>
      <x:c r="C143" s="1174"/>
      <x:c r="D143" s="1169"/>
      <x:c r="E143" s="1169"/>
      <x:c r="F143" s="1169"/>
      <x:c r="G143" s="335"/>
      <x:c r="H143" s="335"/>
      <x:c r="I143" s="335"/>
      <x:c r="J143" s="335"/>
      <x:c r="K143" s="628"/>
      <x:c r="L143" s="628"/>
      <x:c r="M143" s="628"/>
      <x:c r="N143" s="628"/>
      <x:c r="O143" s="628"/>
      <x:c r="P143" s="628"/>
      <x:c r="Q143" s="628"/>
      <x:c r="R143" s="628"/>
      <x:c r="S143" s="628"/>
      <x:c r="T143" s="628"/>
      <x:c r="U143" s="628"/>
      <x:c r="V143" s="628"/>
      <x:c r="X143" s="808"/>
      <x:c r="Y143" s="808"/>
      <x:c r="Z143" s="808"/>
      <x:c r="AA143" s="808"/>
      <x:c r="AB143" s="808"/>
      <x:c r="AC143" s="808"/>
      <x:c r="AD143" s="808"/>
      <x:c r="AE143" s="808"/>
      <x:c r="AF143" s="808"/>
    </x:row>
    <x:row r="144" outlineLevel="1">
      <x:c r="A144" s="406"/>
      <x:c r="B144" s="1174"/>
      <x:c r="C144" s="1174"/>
      <x:c r="D144" s="1169"/>
      <x:c r="E144" s="1169"/>
      <x:c r="F144" s="1169"/>
      <x:c r="G144" s="335"/>
      <x:c r="H144" s="335"/>
      <x:c r="I144" s="335"/>
      <x:c r="J144" s="335"/>
      <x:c r="K144" s="628"/>
      <x:c r="L144" s="628"/>
      <x:c r="M144" s="628"/>
      <x:c r="N144" s="628"/>
      <x:c r="O144" s="628"/>
      <x:c r="P144" s="628"/>
      <x:c r="Q144" s="628"/>
      <x:c r="R144" s="628"/>
      <x:c r="S144" s="628"/>
      <x:c r="T144" s="628"/>
      <x:c r="U144" s="628"/>
      <x:c r="V144" s="628"/>
      <x:c r="X144" s="808"/>
      <x:c r="Y144" s="808"/>
      <x:c r="Z144" s="808"/>
      <x:c r="AA144" s="808"/>
      <x:c r="AB144" s="808"/>
      <x:c r="AC144" s="808"/>
      <x:c r="AD144" s="808"/>
      <x:c r="AE144" s="808"/>
      <x:c r="AF144" s="808"/>
    </x:row>
    <x:row r="145" outlineLevel="1">
      <x:c r="A145" s="406"/>
      <x:c r="B145" s="1174"/>
      <x:c r="C145" s="1174"/>
      <x:c r="D145" s="1169"/>
      <x:c r="E145" s="1169"/>
      <x:c r="F145" s="1169"/>
      <x:c r="G145" s="335"/>
      <x:c r="H145" s="335"/>
      <x:c r="I145" s="335"/>
      <x:c r="J145" s="335"/>
      <x:c r="K145" s="628"/>
      <x:c r="L145" s="628"/>
      <x:c r="M145" s="628"/>
      <x:c r="N145" s="628"/>
      <x:c r="O145" s="628"/>
      <x:c r="P145" s="628"/>
      <x:c r="Q145" s="628"/>
      <x:c r="R145" s="628"/>
      <x:c r="S145" s="628"/>
      <x:c r="T145" s="628"/>
      <x:c r="U145" s="628"/>
      <x:c r="V145" s="628"/>
      <x:c r="X145" s="808"/>
      <x:c r="Y145" s="808"/>
      <x:c r="Z145" s="808"/>
      <x:c r="AA145" s="808"/>
      <x:c r="AB145" s="808"/>
      <x:c r="AC145" s="808"/>
      <x:c r="AD145" s="808"/>
      <x:c r="AE145" s="808"/>
      <x:c r="AF145" s="808"/>
    </x:row>
    <x:row r="146" outlineLevel="1">
      <x:c r="A146" s="406"/>
      <x:c r="B146" s="1174"/>
      <x:c r="C146" s="1174"/>
      <x:c r="D146" s="1169"/>
      <x:c r="E146" s="1169"/>
      <x:c r="F146" s="1169"/>
      <x:c r="G146" s="335"/>
      <x:c r="H146" s="335"/>
      <x:c r="I146" s="335"/>
      <x:c r="J146" s="335"/>
      <x:c r="K146" s="628"/>
      <x:c r="L146" s="628"/>
      <x:c r="M146" s="628"/>
      <x:c r="N146" s="628"/>
      <x:c r="O146" s="628"/>
      <x:c r="P146" s="628"/>
      <x:c r="Q146" s="628"/>
      <x:c r="R146" s="628"/>
      <x:c r="S146" s="628"/>
      <x:c r="T146" s="628"/>
      <x:c r="U146" s="628"/>
      <x:c r="V146" s="628"/>
      <x:c r="X146" s="808"/>
      <x:c r="Y146" s="808"/>
      <x:c r="Z146" s="808"/>
      <x:c r="AA146" s="808"/>
      <x:c r="AB146" s="808"/>
      <x:c r="AC146" s="808"/>
      <x:c r="AD146" s="808"/>
      <x:c r="AE146" s="808"/>
      <x:c r="AF146" s="808"/>
    </x:row>
    <x:row r="147" outlineLevel="1">
      <x:c r="A147" s="406"/>
      <x:c r="B147" s="1174"/>
      <x:c r="C147" s="1174"/>
      <x:c r="D147" s="1169"/>
      <x:c r="E147" s="1169"/>
      <x:c r="F147" s="1169"/>
      <x:c r="G147" s="335"/>
      <x:c r="H147" s="335"/>
      <x:c r="I147" s="335"/>
      <x:c r="J147" s="335"/>
      <x:c r="K147" s="628"/>
      <x:c r="L147" s="628"/>
      <x:c r="M147" s="628"/>
      <x:c r="N147" s="628"/>
      <x:c r="O147" s="628"/>
      <x:c r="P147" s="628"/>
      <x:c r="Q147" s="628"/>
      <x:c r="R147" s="628"/>
      <x:c r="S147" s="628"/>
      <x:c r="T147" s="628"/>
      <x:c r="U147" s="628"/>
      <x:c r="V147" s="628"/>
      <x:c r="X147" s="808"/>
      <x:c r="Y147" s="808"/>
      <x:c r="Z147" s="808"/>
      <x:c r="AA147" s="808"/>
      <x:c r="AB147" s="808"/>
      <x:c r="AC147" s="808"/>
      <x:c r="AD147" s="808"/>
      <x:c r="AE147" s="808"/>
      <x:c r="AF147" s="808"/>
    </x:row>
    <x:row r="148" outlineLevel="1">
      <x:c r="A148" s="406"/>
      <x:c r="B148" s="1174"/>
      <x:c r="C148" s="1174"/>
      <x:c r="D148" s="1169"/>
      <x:c r="E148" s="1169"/>
      <x:c r="F148" s="1169"/>
      <x:c r="G148" s="335"/>
      <x:c r="H148" s="335"/>
      <x:c r="I148" s="335"/>
      <x:c r="J148" s="335"/>
      <x:c r="K148" s="628"/>
      <x:c r="L148" s="628"/>
      <x:c r="M148" s="628"/>
      <x:c r="N148" s="628"/>
      <x:c r="O148" s="628"/>
      <x:c r="P148" s="628"/>
      <x:c r="Q148" s="628"/>
      <x:c r="R148" s="628"/>
      <x:c r="S148" s="628"/>
      <x:c r="T148" s="628"/>
      <x:c r="U148" s="628"/>
      <x:c r="V148" s="628"/>
      <x:c r="X148" s="808"/>
      <x:c r="Y148" s="808"/>
      <x:c r="Z148" s="808"/>
      <x:c r="AA148" s="808"/>
      <x:c r="AB148" s="808"/>
      <x:c r="AC148" s="808"/>
      <x:c r="AD148" s="808"/>
      <x:c r="AE148" s="808"/>
      <x:c r="AF148" s="808"/>
    </x:row>
    <x:row r="149" outlineLevel="1">
      <x:c r="A149" s="406"/>
      <x:c r="B149" s="407"/>
      <x:c r="C149" s="407"/>
      <x:c r="D149" s="407"/>
      <x:c r="E149" s="407"/>
      <x:c r="F149" s="407"/>
      <x:c r="G149" s="335"/>
      <x:c r="H149" s="335"/>
      <x:c r="I149" s="335"/>
      <x:c r="J149" s="335"/>
      <x:c r="K149" s="628"/>
      <x:c r="L149" s="628"/>
      <x:c r="M149" s="628"/>
      <x:c r="N149" s="628"/>
      <x:c r="O149" s="628"/>
      <x:c r="P149" s="628"/>
      <x:c r="Q149" s="628"/>
      <x:c r="R149" s="628"/>
      <x:c r="S149" s="628"/>
      <x:c r="T149" s="628"/>
      <x:c r="U149" s="628"/>
      <x:c r="V149" s="628"/>
      <x:c r="X149" s="808"/>
      <x:c r="Y149" s="808"/>
      <x:c r="Z149" s="808"/>
      <x:c r="AA149" s="808"/>
      <x:c r="AB149" s="808"/>
      <x:c r="AC149" s="808"/>
      <x:c r="AD149" s="808"/>
      <x:c r="AE149" s="808"/>
      <x:c r="AF149" s="808"/>
    </x:row>
    <x:row r="150" outlineLevel="1">
      <x:c r="A150" s="434"/>
      <x:c r="B150" s="1175"/>
      <x:c r="C150" s="1175"/>
      <x:c r="D150" s="1175"/>
      <x:c r="E150" s="1175"/>
      <x:c r="F150" s="1175"/>
      <x:c r="G150" s="335"/>
      <x:c r="H150" s="335"/>
      <x:c r="I150" s="335"/>
      <x:c r="J150" s="335"/>
      <x:c r="K150" s="628"/>
      <x:c r="L150" s="628"/>
      <x:c r="M150" s="628"/>
      <x:c r="N150" s="628"/>
      <x:c r="O150" s="628"/>
      <x:c r="P150" s="628"/>
      <x:c r="Q150" s="628"/>
      <x:c r="R150" s="628"/>
      <x:c r="S150" s="628"/>
      <x:c r="T150" s="628"/>
      <x:c r="U150" s="628"/>
      <x:c r="V150" s="628"/>
      <x:c r="X150" s="808"/>
      <x:c r="Y150" s="808"/>
      <x:c r="Z150" s="808"/>
      <x:c r="AA150" s="808"/>
      <x:c r="AB150" s="808"/>
      <x:c r="AC150" s="808"/>
      <x:c r="AD150" s="808"/>
      <x:c r="AE150" s="808"/>
      <x:c r="AF150" s="808"/>
    </x:row>
    <x:row r="151" outlineLevel="1">
      <x:c r="A151" s="406"/>
      <x:c r="B151" s="1174"/>
      <x:c r="C151" s="1174"/>
      <x:c r="D151" s="407"/>
      <x:c r="E151" s="407"/>
      <x:c r="F151" s="407"/>
      <x:c r="G151" s="335"/>
      <x:c r="H151" s="335"/>
      <x:c r="I151" s="335"/>
      <x:c r="J151" s="335"/>
      <x:c r="K151" s="628"/>
      <x:c r="L151" s="628"/>
      <x:c r="M151" s="628"/>
      <x:c r="N151" s="628"/>
      <x:c r="O151" s="628"/>
      <x:c r="P151" s="628"/>
      <x:c r="Q151" s="628"/>
      <x:c r="R151" s="628"/>
      <x:c r="S151" s="628"/>
      <x:c r="T151" s="628"/>
      <x:c r="U151" s="628"/>
      <x:c r="V151" s="628"/>
      <x:c r="X151" s="808"/>
      <x:c r="Y151" s="808"/>
      <x:c r="Z151" s="808"/>
      <x:c r="AA151" s="808"/>
      <x:c r="AB151" s="808"/>
      <x:c r="AC151" s="808"/>
      <x:c r="AD151" s="808"/>
      <x:c r="AE151" s="808"/>
      <x:c r="AF151" s="808"/>
    </x:row>
    <x:row r="152" outlineLevel="1">
      <x:c r="A152" s="558"/>
      <x:c r="B152" s="560"/>
      <x:c r="C152" s="560"/>
      <x:c r="D152" s="560"/>
      <x:c r="E152" s="560"/>
      <x:c r="F152" s="1176"/>
      <x:c r="G152" s="335"/>
      <x:c r="H152" s="335"/>
      <x:c r="I152" s="335"/>
      <x:c r="J152" s="335"/>
      <x:c r="K152" s="628"/>
      <x:c r="L152" s="628"/>
      <x:c r="M152" s="628"/>
      <x:c r="N152" s="628"/>
      <x:c r="O152" s="628"/>
      <x:c r="P152" s="628"/>
      <x:c r="Q152" s="628"/>
      <x:c r="R152" s="628"/>
      <x:c r="S152" s="628"/>
      <x:c r="T152" s="628"/>
      <x:c r="U152" s="628"/>
      <x:c r="V152" s="628"/>
      <x:c r="X152" s="808"/>
      <x:c r="Y152" s="808"/>
      <x:c r="Z152" s="808"/>
      <x:c r="AA152" s="808"/>
      <x:c r="AB152" s="808"/>
      <x:c r="AC152" s="808"/>
      <x:c r="AD152" s="808"/>
      <x:c r="AE152" s="808"/>
      <x:c r="AF152" s="808"/>
    </x:row>
    <x:row r="153" outlineLevel="1">
      <x:c r="A153" s="406"/>
      <x:c r="B153" s="406"/>
      <x:c r="C153" s="406"/>
      <x:c r="D153" s="406"/>
      <x:c r="E153" s="406"/>
      <x:c r="F153" s="406"/>
      <x:c r="G153" s="335"/>
      <x:c r="H153" s="335"/>
      <x:c r="I153" s="335"/>
      <x:c r="J153" s="335"/>
      <x:c r="K153" s="628"/>
      <x:c r="L153" s="628"/>
      <x:c r="M153" s="628"/>
      <x:c r="N153" s="628"/>
      <x:c r="O153" s="628"/>
      <x:c r="P153" s="628"/>
      <x:c r="Q153" s="628"/>
      <x:c r="R153" s="628"/>
      <x:c r="S153" s="628"/>
      <x:c r="T153" s="628"/>
      <x:c r="U153" s="628"/>
      <x:c r="V153" s="628"/>
      <x:c r="X153" s="808"/>
      <x:c r="Y153" s="808"/>
      <x:c r="Z153" s="808"/>
      <x:c r="AA153" s="808"/>
      <x:c r="AB153" s="808"/>
      <x:c r="AC153" s="808"/>
      <x:c r="AD153" s="808"/>
      <x:c r="AE153" s="808"/>
      <x:c r="AF153" s="808"/>
    </x:row>
    <x:row r="154" outlineLevel="1">
      <x:c r="A154" s="406"/>
      <x:c r="B154" s="406"/>
      <x:c r="C154" s="406"/>
      <x:c r="D154" s="406"/>
      <x:c r="E154" s="406"/>
      <x:c r="F154" s="406"/>
      <x:c r="G154" s="335"/>
      <x:c r="H154" s="335"/>
      <x:c r="I154" s="335"/>
      <x:c r="J154" s="335"/>
      <x:c r="K154" s="628"/>
      <x:c r="L154" s="628"/>
      <x:c r="M154" s="628"/>
      <x:c r="N154" s="628"/>
      <x:c r="O154" s="628"/>
      <x:c r="P154" s="628"/>
      <x:c r="Q154" s="628"/>
      <x:c r="R154" s="628"/>
      <x:c r="S154" s="628"/>
      <x:c r="T154" s="628"/>
      <x:c r="U154" s="628"/>
      <x:c r="V154" s="628"/>
      <x:c r="X154" s="808"/>
      <x:c r="Y154" s="808"/>
      <x:c r="Z154" s="808"/>
      <x:c r="AA154" s="808"/>
      <x:c r="AB154" s="808"/>
      <x:c r="AC154" s="808"/>
      <x:c r="AD154" s="808"/>
      <x:c r="AE154" s="808"/>
      <x:c r="AF154" s="808"/>
    </x:row>
    <x:row r="155" outlineLevel="1">
      <x:c r="A155" s="406"/>
      <x:c r="B155" s="406"/>
      <x:c r="C155" s="406"/>
      <x:c r="D155" s="406"/>
      <x:c r="E155" s="406"/>
      <x:c r="F155" s="406"/>
      <x:c r="G155" s="335"/>
      <x:c r="H155" s="335"/>
      <x:c r="I155" s="335"/>
      <x:c r="J155" s="335"/>
      <x:c r="K155" s="628"/>
      <x:c r="L155" s="628"/>
      <x:c r="M155" s="628"/>
      <x:c r="N155" s="628"/>
      <x:c r="O155" s="628"/>
      <x:c r="P155" s="628"/>
      <x:c r="Q155" s="628"/>
      <x:c r="R155" s="628"/>
      <x:c r="S155" s="628"/>
      <x:c r="T155" s="628"/>
      <x:c r="U155" s="628"/>
      <x:c r="V155" s="628"/>
      <x:c r="X155" s="808"/>
      <x:c r="Y155" s="808"/>
      <x:c r="Z155" s="808"/>
      <x:c r="AA155" s="808"/>
      <x:c r="AB155" s="808"/>
      <x:c r="AC155" s="808"/>
      <x:c r="AD155" s="808"/>
      <x:c r="AE155" s="808"/>
      <x:c r="AF155" s="808"/>
    </x:row>
    <x:row r="156" outlineLevel="1">
      <x:c r="A156" s="810"/>
      <x:c r="B156" s="810"/>
      <x:c r="C156" s="810"/>
      <x:c r="D156" s="810"/>
      <x:c r="E156" s="810"/>
      <x:c r="F156" s="810"/>
      <x:c r="G156" s="335"/>
      <x:c r="H156" s="335"/>
      <x:c r="I156" s="335"/>
      <x:c r="J156" s="335"/>
      <x:c r="K156" s="628"/>
      <x:c r="L156" s="628"/>
      <x:c r="M156" s="628"/>
      <x:c r="N156" s="628"/>
      <x:c r="O156" s="628"/>
      <x:c r="P156" s="628"/>
      <x:c r="Q156" s="628"/>
      <x:c r="R156" s="628"/>
      <x:c r="S156" s="628"/>
      <x:c r="T156" s="628"/>
      <x:c r="U156" s="628"/>
      <x:c r="V156" s="628"/>
      <x:c r="X156" s="808"/>
      <x:c r="Y156" s="808"/>
      <x:c r="Z156" s="808"/>
      <x:c r="AA156" s="808"/>
      <x:c r="AB156" s="808"/>
      <x:c r="AC156" s="808"/>
      <x:c r="AD156" s="808"/>
      <x:c r="AE156" s="808"/>
      <x:c r="AF156" s="808"/>
    </x:row>
    <x:row r="157" outlineLevel="1">
      <x:c r="A157" s="335"/>
      <x:c r="B157" s="335"/>
      <x:c r="C157" s="335"/>
      <x:c r="D157" s="335"/>
      <x:c r="E157" s="335"/>
      <x:c r="F157" s="335"/>
      <x:c r="G157" s="335"/>
      <x:c r="H157" s="335"/>
      <x:c r="I157" s="335"/>
      <x:c r="J157" s="335"/>
      <x:c r="K157" s="628"/>
      <x:c r="L157" s="628"/>
      <x:c r="M157" s="628"/>
      <x:c r="N157" s="628"/>
      <x:c r="O157" s="628"/>
      <x:c r="P157" s="628"/>
      <x:c r="Q157" s="628"/>
      <x:c r="R157" s="628"/>
      <x:c r="S157" s="628"/>
      <x:c r="T157" s="628"/>
      <x:c r="U157" s="628"/>
      <x:c r="V157" s="628"/>
      <x:c r="X157" s="808"/>
      <x:c r="Y157" s="808"/>
      <x:c r="Z157" s="808"/>
      <x:c r="AA157" s="808"/>
      <x:c r="AB157" s="808"/>
      <x:c r="AC157" s="808"/>
      <x:c r="AD157" s="808"/>
      <x:c r="AE157" s="808"/>
      <x:c r="AF157" s="808"/>
    </x:row>
    <x:row r="158">
      <x:c r="A158" s="335"/>
      <x:c r="B158" s="335"/>
      <x:c r="C158" s="335"/>
      <x:c r="D158" s="335"/>
      <x:c r="E158" s="335"/>
      <x:c r="F158" s="335"/>
      <x:c r="G158" s="335"/>
      <x:c r="H158" s="335"/>
      <x:c r="I158" s="335"/>
      <x:c r="J158" s="335"/>
      <x:c r="K158" s="628"/>
      <x:c r="L158" s="628"/>
      <x:c r="M158" s="628"/>
      <x:c r="N158" s="628"/>
      <x:c r="O158" s="628"/>
      <x:c r="P158" s="628"/>
      <x:c r="Q158" s="628"/>
      <x:c r="R158" s="628"/>
      <x:c r="S158" s="628"/>
      <x:c r="T158" s="628"/>
      <x:c r="U158" s="628"/>
      <x:c r="V158" s="628"/>
      <x:c r="X158" s="808"/>
      <x:c r="Y158" s="808"/>
      <x:c r="Z158" s="808"/>
      <x:c r="AA158" s="808"/>
      <x:c r="AB158" s="808"/>
      <x:c r="AC158" s="808"/>
      <x:c r="AD158" s="808"/>
      <x:c r="AE158" s="808"/>
      <x:c r="AF158" s="808"/>
    </x:row>
    <x:row r="159">
      <x:c r="A159" s="335"/>
      <x:c r="B159" s="335"/>
      <x:c r="C159" s="335"/>
      <x:c r="D159" s="335"/>
      <x:c r="E159" s="335"/>
      <x:c r="F159" s="335"/>
      <x:c r="G159" s="335"/>
      <x:c r="H159" s="335"/>
      <x:c r="I159" s="335"/>
      <x:c r="J159" s="335"/>
      <x:c r="K159" s="628"/>
      <x:c r="L159" s="628"/>
      <x:c r="M159" s="628"/>
      <x:c r="N159" s="628"/>
      <x:c r="O159" s="628"/>
      <x:c r="P159" s="628"/>
      <x:c r="Q159" s="628"/>
      <x:c r="R159" s="628"/>
      <x:c r="S159" s="628"/>
      <x:c r="T159" s="628"/>
      <x:c r="U159" s="628"/>
      <x:c r="V159" s="628"/>
      <x:c r="X159" s="808"/>
      <x:c r="Y159" s="808"/>
      <x:c r="Z159" s="808"/>
      <x:c r="AA159" s="808"/>
      <x:c r="AB159" s="808"/>
      <x:c r="AC159" s="808"/>
      <x:c r="AD159" s="808"/>
      <x:c r="AE159" s="808"/>
      <x:c r="AF159" s="808"/>
    </x:row>
    <x:row r="160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628"/>
      <x:c r="L160" s="628"/>
      <x:c r="M160" s="628"/>
      <x:c r="N160" s="628"/>
      <x:c r="O160" s="628"/>
      <x:c r="P160" s="628"/>
      <x:c r="Q160" s="628"/>
      <x:c r="R160" s="628"/>
      <x:c r="S160" s="628"/>
      <x:c r="T160" s="628"/>
      <x:c r="U160" s="628"/>
      <x:c r="V160" s="628"/>
      <x:c r="X160" s="808"/>
      <x:c r="Y160" s="808"/>
      <x:c r="Z160" s="808"/>
      <x:c r="AA160" s="808"/>
      <x:c r="AB160" s="808"/>
      <x:c r="AC160" s="808"/>
      <x:c r="AD160" s="808"/>
      <x:c r="AE160" s="808"/>
      <x:c r="AF160" s="808"/>
    </x:row>
  </x:sheetData>
  <x:mergeCells>
    <x:mergeCell ref="A1:I1"/>
    <x:mergeCell ref="A22:E22"/>
    <x:mergeCell ref="A32:E32"/>
    <x:mergeCell ref="A6:I6"/>
    <x:mergeCell ref="A31:I31"/>
    <x:mergeCell ref="A41:I41"/>
    <x:mergeCell ref="A52:D52"/>
    <x:mergeCell ref="A62:I62"/>
    <x:mergeCell ref="A92:I92"/>
    <x:mergeCell ref="A109:G109"/>
  </x:mergeCells>
  <x:conditionalFormatting sqref="B55:B58">
    <x:cfRule type="expression" dxfId="36" priority="1">
      <x:formula>B55="OK"</x:formula>
    </x:cfRule>
    <x:cfRule type="expression" dxfId="37" priority="2">
      <x:formula>B55="CHECK"</x:formula>
    </x:cfRule>
  </x:conditionalFormatting>
  <x:conditionalFormatting sqref="B102:I102">
    <x:cfRule type="expression" dxfId="76" priority="3">
      <x:formula>B102="OK"</x:formula>
    </x:cfRule>
    <x:cfRule type="expression" dxfId="77" priority="4">
      <x:formula>B102="CHECK"</x:formula>
    </x:cfRule>
  </x:conditionalFormatting>
  <x:conditionalFormatting sqref="B128:B130">
    <x:cfRule type="expression" dxfId="78" priority="5">
      <x:formula>B128="OK"</x:formula>
    </x:cfRule>
    <x:cfRule type="expression" dxfId="79" priority="6">
      <x:formula>B128="CHECK"</x:formula>
    </x:cfRule>
  </x:conditionalFormatting>
  <x:pageMargins left="0.7" right="0.7" top="0.75" bottom="0.75" header="0.3" footer="0.3"/>
  <x:drawing xmlns:r="http://schemas.openxmlformats.org/officeDocument/2006/relationships" r:id="Rc17351cf858a4ee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2" max="2" width="54" customWidth="1"/>
    <x:col min="3" max="5" width="16" customWidth="1"/>
    <x:col min="6" max="6" width="36" customWidth="1"/>
    <x:col min="7" max="7" width="14" customWidth="1"/>
    <x:col min="8" max="8" width="30" customWidth="1"/>
  </x:cols>
  <x:sheetData>
    <x:row r="1">
      <x:c r="A1" s="489" t="str">
        <x:v>SEC EDGAR Data Feed  |  raw filing data, populated by script</x:v>
      </x:c>
      <x:c r="B1" s="489"/>
      <x:c r="C1" s="489"/>
      <x:c r="D1" s="489"/>
      <x:c r="E1" s="489"/>
      <x:c r="F1" s="489"/>
      <x:c r="G1" s="489"/>
      <x:c r="H1" s="489"/>
    </x:row>
    <x:row r="3">
      <x:c r="A3" s="833" t="str">
        <x:v>Company</x:v>
      </x:c>
      <x:c r="B3" s="834"/>
      <x:c r="D3" s="833" t="str">
        <x:v>CIK</x:v>
      </x:c>
      <x:c r="E3" s="834"/>
      <x:c r="G3" s="833" t="str">
        <x:v>Fetched (UTC)</x:v>
      </x:c>
      <x:c r="H3" s="834"/>
    </x:row>
    <x:row r="4">
      <x:c r="A4" s="833" t="str">
        <x:v>Fiscal Years</x:v>
      </x:c>
      <x:c r="B4" s="834"/>
      <x:c r="D4" s="833" t="str">
        <x:v>Units</x:v>
      </x:c>
      <x:c r="E4" s="834" t="str">
        <x:v>USD thousands</x:v>
      </x:c>
      <x:c r="G4" s="833" t="str">
        <x:v>Source</x:v>
      </x:c>
      <x:c r="H4" s="834" t="str">
        <x:v>SEC EDGAR companyfacts API</x:v>
      </x:c>
    </x:row>
    <x:row r="6">
      <x:c r="A6" s="839" t="str">
        <x:v>Line Item</x:v>
      </x:c>
      <x:c r="B6" s="839" t="str">
        <x:v>XBRL Tag(s)</x:v>
      </x:c>
      <x:c r="C6" s="839" t="str">
        <x:v>FY-2</x:v>
      </x:c>
      <x:c r="D6" s="839" t="str">
        <x:v>FY-1</x:v>
      </x:c>
      <x:c r="E6" s="839" t="str">
        <x:v>FY0 (latest)</x:v>
      </x:c>
      <x:c r="F6" s="839" t="str">
        <x:v>Tag matched</x:v>
      </x:c>
      <x:c r="G6" s="839" t="str">
        <x:v>Filing date</x:v>
      </x:c>
      <x:c r="H6" s="839" t="str">
        <x:v>Note</x:v>
      </x:c>
    </x:row>
    <x:row r="7">
      <x:c r="A7" s="833" t="str">
        <x:v>Revenue</x:v>
      </x:c>
      <x:c r="B7" s="833" t="str">
        <x:v>RevenueFromContractWithCustomerExcludingAssessedTax | Revenues | SalesRevenueNet</x:v>
      </x:c>
      <x:c r="C7" s="834"/>
      <x:c r="D7" s="834"/>
      <x:c r="E7" s="834"/>
      <x:c r="F7" s="833"/>
      <x:c r="G7" s="833"/>
      <x:c r="H7" s="833"/>
    </x:row>
    <x:row r="8">
      <x:c r="A8" s="833" t="str">
        <x:v>Cost of Goods Sold</x:v>
      </x:c>
      <x:c r="B8" s="833" t="str">
        <x:v>CostOfGoodsAndServicesSold | CostOfRevenue</x:v>
      </x:c>
      <x:c r="C8" s="834"/>
      <x:c r="D8" s="834"/>
      <x:c r="E8" s="834"/>
      <x:c r="F8" s="833"/>
      <x:c r="G8" s="833"/>
      <x:c r="H8" s="833"/>
    </x:row>
    <x:row r="9">
      <x:c r="A9" s="833" t="str">
        <x:v>SG&amp;A</x:v>
      </x:c>
      <x:c r="B9" s="833" t="str">
        <x:v>SellingGeneralAndAdministrativeExpense</x:v>
      </x:c>
      <x:c r="C9" s="834"/>
      <x:c r="D9" s="834"/>
      <x:c r="E9" s="834"/>
      <x:c r="F9" s="833"/>
      <x:c r="G9" s="833"/>
      <x:c r="H9" s="833"/>
    </x:row>
    <x:row r="10">
      <x:c r="A10" s="833" t="str">
        <x:v>Other Operating Expense</x:v>
      </x:c>
      <x:c r="B10" s="833" t="str">
        <x:v>OtherOperatingIncomeExpenseNet | ResearchAndDevelopmentExpense</x:v>
      </x:c>
      <x:c r="C10" s="834"/>
      <x:c r="D10" s="834"/>
      <x:c r="E10" s="834"/>
      <x:c r="F10" s="833"/>
      <x:c r="G10" s="833"/>
      <x:c r="H10" s="833"/>
    </x:row>
    <x:row r="11">
      <x:c r="A11" s="833" t="str">
        <x:v>Depreciation &amp; Amortisation</x:v>
      </x:c>
      <x:c r="B11" s="833" t="str">
        <x:v>DepreciationDepletionAndAmortization | DepreciationAndAmortization</x:v>
      </x:c>
      <x:c r="C11" s="834"/>
      <x:c r="D11" s="834"/>
      <x:c r="E11" s="834"/>
      <x:c r="F11" s="833"/>
      <x:c r="G11" s="833"/>
      <x:c r="H11" s="833"/>
    </x:row>
    <x:row r="12">
      <x:c r="A12" s="833" t="str">
        <x:v>Interest Expense</x:v>
      </x:c>
      <x:c r="B12" s="833" t="str">
        <x:v>InterestExpense | InterestExpenseDebt</x:v>
      </x:c>
      <x:c r="C12" s="834"/>
      <x:c r="D12" s="834"/>
      <x:c r="E12" s="834"/>
      <x:c r="F12" s="833"/>
      <x:c r="G12" s="833"/>
      <x:c r="H12" s="833"/>
    </x:row>
    <x:row r="13">
      <x:c r="A13" s="833" t="str">
        <x:v>Current Income Tax</x:v>
      </x:c>
      <x:c r="B13" s="833" t="str">
        <x:v>CurrentIncomeTaxExpenseBenefit</x:v>
      </x:c>
      <x:c r="C13" s="834"/>
      <x:c r="D13" s="834"/>
      <x:c r="E13" s="834"/>
      <x:c r="F13" s="833"/>
      <x:c r="G13" s="833"/>
      <x:c r="H13" s="833"/>
    </x:row>
    <x:row r="14">
      <x:c r="A14" s="833" t="str">
        <x:v>Net Income</x:v>
      </x:c>
      <x:c r="B14" s="833" t="str">
        <x:v>NetIncomeLoss</x:v>
      </x:c>
      <x:c r="C14" s="834"/>
      <x:c r="D14" s="834"/>
      <x:c r="E14" s="834"/>
      <x:c r="F14" s="833"/>
      <x:c r="G14" s="833"/>
      <x:c r="H14" s="833"/>
    </x:row>
    <x:row r="16">
      <x:c r="A16" s="833" t="str">
        <x:v>Cash &amp; Equivalents</x:v>
      </x:c>
      <x:c r="B16" s="833" t="str">
        <x:v>CashAndCashEquivalentsAtCarryingValue</x:v>
      </x:c>
      <x:c r="C16" s="834"/>
      <x:c r="D16" s="834"/>
      <x:c r="E16" s="834"/>
      <x:c r="F16" s="833"/>
      <x:c r="G16" s="833"/>
      <x:c r="H16" s="833"/>
    </x:row>
    <x:row r="17">
      <x:c r="A17" s="833" t="str">
        <x:v>Accounts Receivable</x:v>
      </x:c>
      <x:c r="B17" s="833" t="str">
        <x:v>AccountsReceivableNetCurrent</x:v>
      </x:c>
      <x:c r="C17" s="834"/>
      <x:c r="D17" s="834"/>
      <x:c r="E17" s="834"/>
      <x:c r="F17" s="833"/>
      <x:c r="G17" s="833"/>
      <x:c r="H17" s="833"/>
    </x:row>
    <x:row r="18">
      <x:c r="A18" s="833" t="str">
        <x:v>Inventory</x:v>
      </x:c>
      <x:c r="B18" s="833" t="str">
        <x:v>InventoryNet</x:v>
      </x:c>
      <x:c r="C18" s="834"/>
      <x:c r="D18" s="834"/>
      <x:c r="E18" s="834"/>
      <x:c r="F18" s="833"/>
      <x:c r="G18" s="833"/>
      <x:c r="H18" s="833"/>
    </x:row>
    <x:row r="19">
      <x:c r="A19" s="833" t="str">
        <x:v>PP&amp;E (net)</x:v>
      </x:c>
      <x:c r="B19" s="833" t="str">
        <x:v>PropertyPlantAndEquipmentNet</x:v>
      </x:c>
      <x:c r="C19" s="834"/>
      <x:c r="D19" s="834"/>
      <x:c r="E19" s="834"/>
      <x:c r="F19" s="833"/>
      <x:c r="G19" s="833"/>
      <x:c r="H19" s="833"/>
    </x:row>
    <x:row r="20">
      <x:c r="A20" s="833" t="str">
        <x:v>Accounts Payable</x:v>
      </x:c>
      <x:c r="B20" s="833" t="str">
        <x:v>AccountsPayableCurrent</x:v>
      </x:c>
      <x:c r="C20" s="834"/>
      <x:c r="D20" s="834"/>
      <x:c r="E20" s="834"/>
      <x:c r="F20" s="833"/>
      <x:c r="G20" s="833"/>
      <x:c r="H20" s="833"/>
    </x:row>
    <x:row r="21">
      <x:c r="A21" s="833" t="str">
        <x:v>Total Debt</x:v>
      </x:c>
      <x:c r="B21" s="833" t="str">
        <x:v>LongTermDebtNoncurrent + LongTermDebtCurrent + ShortTermBorrowings</x:v>
      </x:c>
      <x:c r="C21" s="834"/>
      <x:c r="D21" s="834"/>
      <x:c r="E21" s="834"/>
      <x:c r="F21" s="833"/>
      <x:c r="G21" s="833"/>
      <x:c r="H21" s="833"/>
    </x:row>
    <x:row r="22">
      <x:c r="A22" s="833" t="str">
        <x:v>Deferred Tax Liability</x:v>
      </x:c>
      <x:c r="B22" s="833" t="str">
        <x:v>DeferredIncomeTaxLiabilitiesNet | DeferredTaxLiabilitiesNoncurrent</x:v>
      </x:c>
      <x:c r="C22" s="834"/>
      <x:c r="D22" s="834"/>
      <x:c r="E22" s="834"/>
      <x:c r="F22" s="833"/>
      <x:c r="G22" s="833"/>
      <x:c r="H22" s="833"/>
    </x:row>
    <x:row r="23">
      <x:c r="A23" s="833" t="str">
        <x:v>Common Equity</x:v>
      </x:c>
      <x:c r="B23" s="833" t="str">
        <x:v>CommonStockValue + AdditionalPaidInCapital</x:v>
      </x:c>
      <x:c r="C23" s="834"/>
      <x:c r="D23" s="834"/>
      <x:c r="E23" s="834"/>
      <x:c r="F23" s="833"/>
      <x:c r="G23" s="833"/>
      <x:c r="H23" s="833"/>
    </x:row>
    <x:row r="24">
      <x:c r="A24" s="833" t="str">
        <x:v>Retained Earnings</x:v>
      </x:c>
      <x:c r="B24" s="833" t="str">
        <x:v>RetainedEarningsAccumulatedDeficit</x:v>
      </x:c>
      <x:c r="C24" s="834"/>
      <x:c r="D24" s="834"/>
      <x:c r="E24" s="834"/>
      <x:c r="F24" s="833"/>
      <x:c r="G24" s="833"/>
      <x:c r="H24" s="833"/>
    </x:row>
    <x:row r="25">
      <x:c r="A25" s="833" t="str">
        <x:v>Tax Loss Carryforward</x:v>
      </x:c>
      <x:c r="B25" s="833" t="str">
        <x:v>OperatingLossCarryforwards</x:v>
      </x:c>
      <x:c r="C25" s="834"/>
      <x:c r="D25" s="834"/>
      <x:c r="E25" s="834"/>
      <x:c r="F25" s="833"/>
      <x:c r="G25" s="833"/>
      <x:c r="H25" s="833"/>
    </x:row>
    <x:row r="26">
      <x:c r="A26" s="833" t="str">
        <x:v>Shares Outstanding</x:v>
      </x:c>
      <x:c r="B26" s="833" t="str">
        <x:v>dei:EntityCommonStockSharesOutstanding</x:v>
      </x:c>
      <x:c r="C26" s="834"/>
      <x:c r="D26" s="834"/>
      <x:c r="E26" s="834"/>
      <x:c r="F26" s="833"/>
      <x:c r="G26" s="833"/>
      <x:c r="H26" s="833"/>
    </x:row>
    <x:row r="28">
      <x:c r="A28" s="839" t="str">
        <x:v>Data Feed Checks</x:v>
      </x:c>
      <x:c r="B28" s="839"/>
      <x:c r="C28" s="839"/>
      <x:c r="D28" s="839"/>
      <x:c r="E28" s="839"/>
      <x:c r="F28" s="839"/>
      <x:c r="G28" s="839"/>
      <x:c r="H28" s="839"/>
    </x:row>
    <x:row r="29">
      <x:c r="A29" s="833" t="str">
        <x:v>Core items populated</x:v>
      </x:c>
      <x:c r="B29" s="834" t="str">
        <x:f>IF(COUNT(C7:E26)&gt;=30,"OK","CHECK")</x:f>
      </x:c>
    </x:row>
    <x:row r="30">
      <x:c r="A30" s="833" t="str">
        <x:v>Latest year fully populated</x:v>
      </x:c>
      <x:c r="B30" s="834" t="str">
        <x:f>IF(COUNT(E7:E26)&gt;=15,"OK","CHECK")</x:f>
      </x:c>
    </x:row>
    <x:row r="31">
      <x:c r="A31" s="833" t="str">
        <x:v>Fetch date present</x:v>
      </x:c>
      <x:c r="B31" s="834" t="str">
        <x:f>IF(LEN(H3)&gt;0,"OK","CHECK")</x:f>
      </x:c>
    </x:row>
    <x:row r="32">
      <x:c r="A32" s="833" t="str">
        <x:v>Other Assets (plug)</x:v>
      </x:c>
      <x:c r="B32" s="833" t="str">
        <x:v>Assets - (Cash+AR+Inv+PPE)</x:v>
      </x:c>
      <x:c r="C32" s="834"/>
      <x:c r="D32" s="834"/>
      <x:c r="E32" s="834"/>
    </x:row>
    <x:row r="33">
      <x:c r="A33" s="833" t="str">
        <x:v>Other Liabilities (plug)</x:v>
      </x:c>
      <x:c r="B33" s="833" t="str">
        <x:v>Liabilities - (AP+Debt+DTL)</x:v>
      </x:c>
      <x:c r="C33" s="834"/>
      <x:c r="D33" s="834"/>
      <x:c r="E33" s="834"/>
    </x:row>
    <x:row r="34">
      <x:c r="A34" s="833" t="str">
        <x:v>Other Equity (plug)</x:v>
      </x:c>
      <x:c r="B34" s="833" t="str">
        <x:v>StockholdersEquity - (Common+Retained)</x:v>
      </x:c>
      <x:c r="C34" s="834"/>
      <x:c r="D34" s="834"/>
      <x:c r="E34" s="834"/>
    </x:row>
    <x:row r="36">
      <x:c r="A36" s="839" t="str">
        <x:v>Reported Totals (denetim izi)</x:v>
      </x:c>
      <x:c r="B36" s="839"/>
      <x:c r="C36" s="839"/>
      <x:c r="D36" s="839"/>
      <x:c r="E36" s="839"/>
      <x:c r="F36" s="839"/>
      <x:c r="G36" s="839"/>
      <x:c r="H36" s="839"/>
    </x:row>
    <x:row r="37">
      <x:c r="A37" s="833" t="str">
        <x:v>Total Assets (reported)</x:v>
      </x:c>
      <x:c r="B37" s="833" t="str">
        <x:v>us-gaap:Assets</x:v>
      </x:c>
      <x:c r="C37" s="834"/>
      <x:c r="D37" s="834"/>
      <x:c r="E37" s="834"/>
    </x:row>
    <x:row r="38">
      <x:c r="A38" s="833" t="str">
        <x:v>Total Liabilities (reported)</x:v>
      </x:c>
      <x:c r="B38" s="833" t="str">
        <x:v>us-gaap:Liabilities</x:v>
      </x:c>
      <x:c r="C38" s="834"/>
      <x:c r="D38" s="834"/>
      <x:c r="E38" s="834"/>
    </x:row>
    <x:row r="39">
      <x:c r="A39" s="833" t="str">
        <x:v>Total Equity (reported)</x:v>
      </x:c>
      <x:c r="B39" s="833" t="str">
        <x:v>us-gaap:StockholdersEquity</x:v>
      </x:c>
      <x:c r="C39" s="834"/>
      <x:c r="D39" s="834"/>
      <x:c r="E39" s="834"/>
    </x:row>
  </x:sheetData>
  <x:mergeCells count="2">
    <x:mergeCell ref="A1:H1"/>
    <x:mergeCell ref="A28:H28"/>
  </x:mergeCells>
  <x:pageMargins left="0.7" right="0.7" top="0.75" bottom="0.75" header="0.3" footer="0.3"/>
</x:worksheet>
</file>