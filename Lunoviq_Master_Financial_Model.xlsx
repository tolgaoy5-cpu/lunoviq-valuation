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calcPr calcId="0" fullCalcOnLoad="1" iterate="1" iterateCount="100" iterateDelta="0.001"/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'05_Sensitivity'!B19</x:f>
      </x:c>
      <x:c r="J37" s="1018" t="n">
        <x:f>'05_Sensitivity'!C19</x:f>
      </x:c>
      <x:c r="K37" s="1018" t="n">
        <x:f>'05_Sensitivity'!D19</x:f>
      </x:c>
      <x:c r="L37" s="1018" t="n">
        <x:f>'03_3_Statement_Model'!I8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'05_Sensitivity'!B20</x:f>
      </x:c>
      <x:c r="J38" s="1018" t="n">
        <x:f>'05_Sensitivity'!C20</x:f>
      </x:c>
      <x:c r="K38" s="1018" t="n">
        <x:f>'05_Sensitivity'!D20</x:f>
      </x:c>
      <x:c r="L38" s="1018" t="n">
        <x:f>'03_3_Statement_Model'!I15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'05_Sensitivity'!B20*70%</x:f>
      </x:c>
      <x:c r="J39" s="1018" t="n">
        <x:f>'05_Sensitivity'!C20*70%</x:f>
      </x:c>
      <x:c r="K39" s="1018" t="n">
        <x:f>'05_Sensitivity'!D20*70%</x:f>
      </x:c>
      <x:c r="L39" s="1018" t="n">
        <x:f>'04_DCF_Valuation'!F11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 t="n">
        <x:f>B40/$B$41-1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'05_Sensitivity'!B22</x:f>
      </x:c>
      <x:c r="J40" s="1019" t="n">
        <x:f>'05_Sensitivity'!C22</x:f>
      </x:c>
      <x:c r="K40" s="1019" t="n">
        <x:f>'05_Sensitivity'!D22</x:f>
      </x:c>
      <x:c r="L40" s="1019" t="n">
        <x:f>'04_DCF_Valuation'!B54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IF(OR(COUNTIF('07_Analysis_Scenarios'!B55:B58,"CHECK")&gt;0,COUNTIF('07_Analysis_Scenarios'!B128:B130,"CHECK")&gt;0,COUNTIF('07_Analysis_Scenarios'!B155:B156,"CHECK")&gt;0),"CHECK","OK")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644"/>
      <x:c r="B15" s="644"/>
      <x:c r="C15" s="644"/>
      <x:c r="D15" s="644"/>
      <x:c r="E15" s="644"/>
      <x:c r="F15" s="644"/>
      <x:c r="G15" s="644"/>
      <x:c r="H15" s="644"/>
      <x:c r="I15" s="644"/>
    </x:row>
    <x:row r="16">
      <x:c r="A16" s="644"/>
      <x:c r="B16" s="644"/>
      <x:c r="C16" s="644"/>
      <x:c r="D16" s="644"/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644"/>
      <x:c r="B35" s="644"/>
      <x:c r="C35" s="644"/>
      <x:c r="D35" s="644"/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644"/>
      <x:c r="B56" s="644"/>
      <x:c r="C56" s="644"/>
      <x:c r="D56" s="644"/>
      <x:c r="E56" s="644"/>
      <x:c r="F56" s="644"/>
      <x:c r="G56" s="644"/>
      <x:c r="H56" s="644"/>
      <x:c r="I56" s="644"/>
    </x:row>
    <x:row r="57">
      <x:c r="A57" s="644"/>
      <x:c r="B57" s="644"/>
      <x:c r="C57" s="644"/>
      <x:c r="D57" s="644"/>
      <x:c r="E57" s="644"/>
      <x:c r="F57" s="644"/>
      <x:c r="G57" s="644"/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644"/>
      <x:c r="B68" s="644"/>
      <x:c r="C68" s="644"/>
      <x:c r="D68" s="644"/>
      <x:c r="E68" s="644"/>
      <x:c r="F68" s="644"/>
      <x:c r="G68" s="644"/>
      <x:c r="H68" s="644"/>
      <x:c r="I68" s="644"/>
    </x:row>
    <x:row r="69">
      <x:c r="A69" s="644"/>
      <x:c r="B69" s="644"/>
      <x:c r="C69" s="644"/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/>
      <x:c r="B18" s="860"/>
      <x:c r="C18" s="860"/>
      <x:c r="D18" s="860"/>
      <x:c r="E18" s="896"/>
      <x:c r="F18" s="897"/>
      <x:c r="G18" s="897"/>
      <x:c r="H18" s="897"/>
      <x:c r="I18" s="897"/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 t="n">
        <x:f>B17+B19</x:f>
      </x:c>
      <x:c r="C20" s="1051" t="n">
        <x:f>C17+C19</x:f>
      </x:c>
      <x:c r="D20" s="1051" t="n">
        <x:f>D17+D19</x:f>
      </x:c>
      <x:c r="E20" s="1050" t="n">
        <x:f>E17+E19</x:f>
      </x:c>
      <x:c r="F20" s="1051" t="n">
        <x:f>F17+F19</x:f>
      </x:c>
      <x:c r="G20" s="1051" t="n">
        <x:f>G17+G19</x:f>
      </x:c>
      <x:c r="H20" s="1051" t="n">
        <x:f>H17+H19</x:f>
      </x:c>
      <x:c r="I20" s="1051" t="n">
        <x:f>I17+I19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 t="n">
        <x:v>0</x:v>
      </x:c>
      <x:c r="C23" s="1076" t="n">
        <x:v>0</x:v>
      </x:c>
      <x:c r="D23" s="1076" t="n">
        <x:v>0</x:v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/>
      <x:c r="B25" s="860"/>
      <x:c r="C25" s="860"/>
      <x:c r="D25" s="860"/>
      <x:c r="E25" s="896"/>
      <x:c r="F25" s="897"/>
      <x:c r="G25" s="897"/>
      <x:c r="H25" s="897"/>
      <x:c r="I25" s="897"/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 t="n">
        <x:f>B20+B24</x:f>
      </x:c>
      <x:c r="C26" s="1051" t="n">
        <x:f>C20+C24</x:f>
      </x:c>
      <x:c r="D26" s="1051" t="n">
        <x:f>D20+D24</x:f>
      </x:c>
      <x:c r="E26" s="1050" t="n">
        <x:f>E20+E24</x:f>
      </x:c>
      <x:c r="F26" s="1051" t="n">
        <x:f>F20+F24</x:f>
      </x:c>
      <x:c r="G26" s="1051" t="n">
        <x:f>G20+G24</x:f>
      </x:c>
      <x:c r="H26" s="1051" t="n">
        <x:f>H20+H24</x:f>
      </x:c>
      <x:c r="I26" s="1051" t="n">
        <x:f>I20+I24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238"/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238"/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238"/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238"/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238"/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935"/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238"/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 t="n">
        <x:f>(F11*(1+$B$28)/($B$29-$B$28))*F24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839"/>
      <x:c r="E31" s="839"/>
      <x:c r="F31" s="839"/>
      <x:c r="G31" s="839"/>
      <x:c r="H31" s="839"/>
    </x:row>
    <x:row r="32" outlineLevel="1">
      <x:c r="A32" s="839"/>
      <x:c r="B32" s="860"/>
      <x:c r="C32" s="839"/>
      <x:c r="D32" s="839"/>
      <x:c r="E32" s="839"/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</x:v>
      </x:c>
      <x:c r="E34" s="1117" t="n">
        <x:f>'03_3_Statement_Model'!D65-'03_3_Statement_Model'!D57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 t="n">
        <x:f>F11*(1+$B$28)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 t="n">
        <x:v>0.015</x:v>
      </x:c>
      <x:c r="C6" s="1129" t="n">
        <x:v>0.02</x:v>
      </x:c>
      <x:c r="D6" s="1129" t="n">
        <x:v>0.025</x:v>
      </x:c>
      <x:c r="E6" s="1129" t="n">
        <x:v>0.03</x:v>
      </x:c>
      <x:c r="F6" s="1129" t="n">
        <x:v>0.035</x:v>
      </x:c>
      <x:c r="G6" s="1130" t="n">
        <x:v>0.04</x:v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 t="n">
        <x:v>0.075</x:v>
      </x:c>
      <x:c r="B7" s="1132" t="n">
        <x:f>(SUM('04_DCF_Valuation'!$B$25:$F$25)+('04_DCF_Valuation'!$F$11*(1+B$6)/($A7-B$6))*'04_DCF_Valuation'!$F$24-'04_DCF_Valuation'!$E$34)/'01_Inputs_Historicals'!$C$67</x:f>
      </x:c>
      <x:c r="C7" s="1132" t="n">
        <x:f>(SUM('04_DCF_Valuation'!$B$25:$F$25)+('04_DCF_Valuation'!$F$11*(1+C$6)/($A7-C$6))*'04_DCF_Valuation'!$F$24-'04_DCF_Valuation'!$E$34)/'01_Inputs_Historicals'!$C$67</x:f>
      </x:c>
      <x:c r="D7" s="1132" t="n">
        <x:f>(SUM('04_DCF_Valuation'!$B$25:$F$25)+('04_DCF_Valuation'!$F$11*(1+D$6)/($A7-D$6))*'04_DCF_Valuation'!$F$24-'04_DCF_Valuation'!$E$34)/'01_Inputs_Historicals'!$C$67</x:f>
      </x:c>
      <x:c r="E7" s="1132" t="n">
        <x:f>(SUM('04_DCF_Valuation'!$B$25:$F$25)+('04_DCF_Valuation'!$F$11*(1+E$6)/($A7-E$6))*'04_DCF_Valuation'!$F$24-'04_DCF_Valuation'!$E$34)/'01_Inputs_Historicals'!$C$67</x:f>
      </x:c>
      <x:c r="F7" s="1132" t="n">
        <x:f>(SUM('04_DCF_Valuation'!$B$25:$F$25)+('04_DCF_Valuation'!$F$11*(1+F$6)/($A7-F$6))*'04_DCF_Valuation'!$F$24-'04_DCF_Valuation'!$E$34)/'01_Inputs_Historicals'!$C$67</x:f>
      </x:c>
      <x:c r="G7" s="1133" t="n">
        <x:f>(SUM('04_DCF_Valuation'!$B$25:$F$25)+('04_DCF_Valuation'!$F$11*(1+G$6)/($A7-G$6))*'04_DCF_Valuation'!$F$24-'04_DCF_Valuation'!$E$34)/'01_Inputs_Historicals'!$C$67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 t="n">
        <x:v>0.08</x:v>
      </x:c>
      <x:c r="B8" s="1132" t="n">
        <x:f>(SUM('04_DCF_Valuation'!$B$25:$F$25)+('04_DCF_Valuation'!$F$11*(1+B$6)/($A8-B$6))*'04_DCF_Valuation'!$F$24-'04_DCF_Valuation'!$E$34)/'01_Inputs_Historicals'!$C$67</x:f>
      </x:c>
      <x:c r="C8" s="1132" t="n">
        <x:f>(SUM('04_DCF_Valuation'!$B$25:$F$25)+('04_DCF_Valuation'!$F$11*(1+C$6)/($A8-C$6))*'04_DCF_Valuation'!$F$24-'04_DCF_Valuation'!$E$34)/'01_Inputs_Historicals'!$C$67</x:f>
      </x:c>
      <x:c r="D8" s="1132" t="n">
        <x:f>(SUM('04_DCF_Valuation'!$B$25:$F$25)+('04_DCF_Valuation'!$F$11*(1+D$6)/($A8-D$6))*'04_DCF_Valuation'!$F$24-'04_DCF_Valuation'!$E$34)/'01_Inputs_Historicals'!$C$67</x:f>
      </x:c>
      <x:c r="E8" s="1132" t="n">
        <x:f>(SUM('04_DCF_Valuation'!$B$25:$F$25)+('04_DCF_Valuation'!$F$11*(1+E$6)/($A8-E$6))*'04_DCF_Valuation'!$F$24-'04_DCF_Valuation'!$E$34)/'01_Inputs_Historicals'!$C$67</x:f>
      </x:c>
      <x:c r="F8" s="1132" t="n">
        <x:f>(SUM('04_DCF_Valuation'!$B$25:$F$25)+('04_DCF_Valuation'!$F$11*(1+F$6)/($A8-F$6))*'04_DCF_Valuation'!$F$24-'04_DCF_Valuation'!$E$34)/'01_Inputs_Historicals'!$C$67</x:f>
      </x:c>
      <x:c r="G8" s="1133" t="n">
        <x:f>(SUM('04_DCF_Valuation'!$B$25:$F$25)+('04_DCF_Valuation'!$F$11*(1+G$6)/($A8-G$6))*'04_DCF_Valuation'!$F$24-'04_DCF_Valuation'!$E$34)/'01_Inputs_Historicals'!$C$67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 t="n">
        <x:v>0.085</x:v>
      </x:c>
      <x:c r="B9" s="1132" t="n">
        <x:f>(SUM('04_DCF_Valuation'!$B$25:$F$25)+('04_DCF_Valuation'!$F$11*(1+B$6)/($A9-B$6))*'04_DCF_Valuation'!$F$24-'04_DCF_Valuation'!$E$34)/'01_Inputs_Historicals'!$C$67</x:f>
      </x:c>
      <x:c r="C9" s="1132" t="n">
        <x:f>(SUM('04_DCF_Valuation'!$B$25:$F$25)+('04_DCF_Valuation'!$F$11*(1+C$6)/($A9-C$6))*'04_DCF_Valuation'!$F$24-'04_DCF_Valuation'!$E$34)/'01_Inputs_Historicals'!$C$67</x:f>
      </x:c>
      <x:c r="D9" s="1134" t="n">
        <x:f>(SUM('04_DCF_Valuation'!$B$25:$F$25)+('04_DCF_Valuation'!$F$11*(1+D$6)/($A9-D$6))*'04_DCF_Valuation'!$F$24-'04_DCF_Valuation'!$E$34)/'01_Inputs_Historicals'!$C$67</x:f>
      </x:c>
      <x:c r="E9" s="1132" t="n">
        <x:f>(SUM('04_DCF_Valuation'!$B$25:$F$25)+('04_DCF_Valuation'!$F$11*(1+E$6)/($A9-E$6))*'04_DCF_Valuation'!$F$24-'04_DCF_Valuation'!$E$34)/'01_Inputs_Historicals'!$C$67</x:f>
      </x:c>
      <x:c r="F9" s="1132" t="n">
        <x:f>(SUM('04_DCF_Valuation'!$B$25:$F$25)+('04_DCF_Valuation'!$F$11*(1+F$6)/($A9-F$6))*'04_DCF_Valuation'!$F$24-'04_DCF_Valuation'!$E$34)/'01_Inputs_Historicals'!$C$67</x:f>
      </x:c>
      <x:c r="G9" s="1133" t="n">
        <x:f>(SUM('04_DCF_Valuation'!$B$25:$F$25)+('04_DCF_Valuation'!$F$11*(1+G$6)/($A9-G$6))*'04_DCF_Valuation'!$F$24-'04_DCF_Valuation'!$E$34)/'01_Inputs_Historicals'!$C$67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 t="n">
        <x:v>0.09</x:v>
      </x:c>
      <x:c r="B10" s="1132" t="n">
        <x:f>(SUM('04_DCF_Valuation'!$B$25:$F$25)+('04_DCF_Valuation'!$F$11*(1+B$6)/($A10-B$6))*'04_DCF_Valuation'!$F$24-'04_DCF_Valuation'!$E$34)/'01_Inputs_Historicals'!$C$67</x:f>
      </x:c>
      <x:c r="C10" s="1132" t="n">
        <x:f>(SUM('04_DCF_Valuation'!$B$25:$F$25)+('04_DCF_Valuation'!$F$11*(1+C$6)/($A10-C$6))*'04_DCF_Valuation'!$F$24-'04_DCF_Valuation'!$E$34)/'01_Inputs_Historicals'!$C$67</x:f>
      </x:c>
      <x:c r="D10" s="1132" t="n">
        <x:f>(SUM('04_DCF_Valuation'!$B$25:$F$25)+('04_DCF_Valuation'!$F$11*(1+D$6)/($A10-D$6))*'04_DCF_Valuation'!$F$24-'04_DCF_Valuation'!$E$34)/'01_Inputs_Historicals'!$C$67</x:f>
      </x:c>
      <x:c r="E10" s="1132" t="n">
        <x:f>(SUM('04_DCF_Valuation'!$B$25:$F$25)+('04_DCF_Valuation'!$F$11*(1+E$6)/($A10-E$6))*'04_DCF_Valuation'!$F$24-'04_DCF_Valuation'!$E$34)/'01_Inputs_Historicals'!$C$67</x:f>
      </x:c>
      <x:c r="F10" s="1132" t="n">
        <x:f>(SUM('04_DCF_Valuation'!$B$25:$F$25)+('04_DCF_Valuation'!$F$11*(1+F$6)/($A10-F$6))*'04_DCF_Valuation'!$F$24-'04_DCF_Valuation'!$E$34)/'01_Inputs_Historicals'!$C$67</x:f>
      </x:c>
      <x:c r="G10" s="1133" t="n">
        <x:f>(SUM('04_DCF_Valuation'!$B$25:$F$25)+('04_DCF_Valuation'!$F$11*(1+G$6)/($A10-G$6))*'04_DCF_Valuation'!$F$24-'04_DCF_Valuation'!$E$34)/'01_Inputs_Historicals'!$C$67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 t="n">
        <x:v>0.095</x:v>
      </x:c>
      <x:c r="B11" s="1132" t="n">
        <x:f>(SUM('04_DCF_Valuation'!$B$25:$F$25)+('04_DCF_Valuation'!$F$11*(1+B$6)/($A11-B$6))*'04_DCF_Valuation'!$F$24-'04_DCF_Valuation'!$E$34)/'01_Inputs_Historicals'!$C$67</x:f>
      </x:c>
      <x:c r="C11" s="1132" t="n">
        <x:f>(SUM('04_DCF_Valuation'!$B$25:$F$25)+('04_DCF_Valuation'!$F$11*(1+C$6)/($A11-C$6))*'04_DCF_Valuation'!$F$24-'04_DCF_Valuation'!$E$34)/'01_Inputs_Historicals'!$C$67</x:f>
      </x:c>
      <x:c r="D11" s="1132" t="n">
        <x:f>(SUM('04_DCF_Valuation'!$B$25:$F$25)+('04_DCF_Valuation'!$F$11*(1+D$6)/($A11-D$6))*'04_DCF_Valuation'!$F$24-'04_DCF_Valuation'!$E$34)/'01_Inputs_Historicals'!$C$67</x:f>
      </x:c>
      <x:c r="E11" s="1132" t="n">
        <x:f>(SUM('04_DCF_Valuation'!$B$25:$F$25)+('04_DCF_Valuation'!$F$11*(1+E$6)/($A11-E$6))*'04_DCF_Valuation'!$F$24-'04_DCF_Valuation'!$E$34)/'01_Inputs_Historicals'!$C$67</x:f>
      </x:c>
      <x:c r="F11" s="1132" t="n">
        <x:f>(SUM('04_DCF_Valuation'!$B$25:$F$25)+('04_DCF_Valuation'!$F$11*(1+F$6)/($A11-F$6))*'04_DCF_Valuation'!$F$24-'04_DCF_Valuation'!$E$34)/'01_Inputs_Historicals'!$C$67</x:f>
      </x:c>
      <x:c r="G11" s="1133" t="n">
        <x:f>(SUM('04_DCF_Valuation'!$B$25:$F$25)+('04_DCF_Valuation'!$F$11*(1+G$6)/($A11-G$6))*'04_DCF_Valuation'!$F$24-'04_DCF_Valuation'!$E$34)/'01_Inputs_Historicals'!$C$67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 t="n">
        <x:v>0.1</x:v>
      </x:c>
      <x:c r="B12" s="1136" t="n">
        <x:f>(SUM('04_DCF_Valuation'!$B$25:$F$25)+('04_DCF_Valuation'!$F$11*(1+B$6)/($A12-B$6))*'04_DCF_Valuation'!$F$24-'04_DCF_Valuation'!$E$34)/'01_Inputs_Historicals'!$C$67</x:f>
      </x:c>
      <x:c r="C12" s="1136" t="n">
        <x:f>(SUM('04_DCF_Valuation'!$B$25:$F$25)+('04_DCF_Valuation'!$F$11*(1+C$6)/($A12-C$6))*'04_DCF_Valuation'!$F$24-'04_DCF_Valuation'!$E$34)/'01_Inputs_Historicals'!$C$67</x:f>
      </x:c>
      <x:c r="D12" s="1136" t="n">
        <x:f>(SUM('04_DCF_Valuation'!$B$25:$F$25)+('04_DCF_Valuation'!$F$11*(1+D$6)/($A12-D$6))*'04_DCF_Valuation'!$F$24-'04_DCF_Valuation'!$E$34)/'01_Inputs_Historicals'!$C$67</x:f>
      </x:c>
      <x:c r="E12" s="1136" t="n">
        <x:f>(SUM('04_DCF_Valuation'!$B$25:$F$25)+('04_DCF_Valuation'!$F$11*(1+E$6)/($A12-E$6))*'04_DCF_Valuation'!$F$24-'04_DCF_Valuation'!$E$34)/'01_Inputs_Historicals'!$C$67</x:f>
      </x:c>
      <x:c r="F12" s="1136" t="n">
        <x:f>(SUM('04_DCF_Valuation'!$B$25:$F$25)+('04_DCF_Valuation'!$F$11*(1+F$6)/($A12-F$6))*'04_DCF_Valuation'!$F$24-'04_DCF_Valuation'!$E$34)/'01_Inputs_Historicals'!$C$67</x:f>
      </x:c>
      <x:c r="G12" s="1137" t="n">
        <x:f>(SUM('04_DCF_Valuation'!$B$25:$F$25)+('04_DCF_Valuation'!$F$11*(1+G$6)/($A12-G$6))*'04_DCF_Valuation'!$F$24-'04_DCF_Valuation'!$E$34)/'01_Inputs_Historicals'!$C$67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 t="n">
        <x:f>'03_3_Statement_Model'!D8*(1+'01_Inputs_Historicals'!C39+'01_Inputs_Historicals'!$B$72)*(1+'01_Inputs_Historicals'!D39+'01_Inputs_Historicals'!$B$72)*(1+'01_Inputs_Historicals'!E39+'01_Inputs_Historicals'!$B$72)*(1+'01_Inputs_Historicals'!F39+'01_Inputs_Historicals'!$B$72)*(1+'01_Inputs_Historicals'!G39+'01_Inputs_Historicals'!$B$72)</x:f>
      </x:c>
      <x:c r="C19" s="1138" t="n">
        <x:f>'03_3_Statement_Model'!D8*(1+'01_Inputs_Historicals'!C39+'01_Inputs_Historicals'!$C$72)*(1+'01_Inputs_Historicals'!D39+'01_Inputs_Historicals'!$C$72)*(1+'01_Inputs_Historicals'!E39+'01_Inputs_Historicals'!$C$72)*(1+'01_Inputs_Historicals'!F39+'01_Inputs_Historicals'!$C$72)*(1+'01_Inputs_Historicals'!G39+'01_Inputs_Historicals'!$C$72)</x:f>
      </x:c>
      <x:c r="D19" s="1138" t="n">
        <x:f>'03_3_Statement_Model'!D8*(1+'01_Inputs_Historicals'!C39+'01_Inputs_Historicals'!$D$72)*(1+'01_Inputs_Historicals'!D39+'01_Inputs_Historicals'!$D$72)*(1+'01_Inputs_Historicals'!E39+'01_Inputs_Historicals'!$D$72)*(1+'01_Inputs_Historicals'!F39+'01_Inputs_Historicals'!$D$72)*(1+'01_Inputs_Historicals'!G39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 t="n">
        <x:f>B19*32%</x:f>
      </x:c>
      <x:c r="C20" s="1139" t="n">
        <x:f>C19*32%</x:f>
      </x:c>
      <x:c r="D20" s="1139" t="n">
        <x:f>D19*32%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(('04_DCF_Valuation'!$E$28*(B20/'04_DCF_Valuation'!$F$7))+('04_DCF_Valuation'!$F$11*(B20/'04_DCF_Valuation'!$F$7)*(1+B21)/('04_DCF_Valuation'!$B$29-B21))*'04_DCF_Valuation'!$F$24-'04_DCF_Valuation'!$E$34)/'04_DCF_Valuation'!$H$29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(('04_DCF_Valuation'!$E$28*(C20/'04_DCF_Valuation'!$F$7))+('04_DCF_Valuation'!$F$11*(C20/'04_DCF_Valuation'!$F$7)*(1+C21)/('04_DCF_Valuation'!$B$29-C21))*'04_DCF_Valuation'!$F$24-'04_DCF_Valuation'!$E$34)/'04_DCF_Valuation'!$H$29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(('04_DCF_Valuation'!$E$28*(D20/'04_DCF_Valuation'!$F$7))+('04_DCF_Valuation'!$F$11*(D20/'04_DCF_Valuation'!$F$7)*(1+D21)/('04_DCF_Valuation'!$B$29-D21))*'04_DCF_Valuation'!$F$24-'04_DCF_Valuation'!$E$34)/'04_DCF_Valuation'!$H$29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 t="n">
        <x:v>0.015</x:v>
      </x:c>
      <x:c r="C28" s="1129" t="n">
        <x:v>0.02</x:v>
      </x:c>
      <x:c r="D28" s="1129" t="n">
        <x:v>0.025</x:v>
      </x:c>
      <x:c r="E28" s="1129" t="n">
        <x:v>0.03</x:v>
      </x:c>
      <x:c r="F28" s="1129" t="n">
        <x:v>0.035</x:v>
      </x:c>
      <x:c r="G28" s="1130" t="n">
        <x:v>0.04</x:v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 t="n">
        <x:v>0.075</x:v>
      </x:c>
      <x:c r="B29" s="1138" t="n">
        <x:f>SUM('04_DCF_Valuation'!$B$25:$F$25)+('04_DCF_Valuation'!$F$11*(1+B$28)/($A29-B$28))*'04_DCF_Valuation'!$F$24</x:f>
      </x:c>
      <x:c r="C29" s="1138" t="n">
        <x:f>SUM('04_DCF_Valuation'!$B$25:$F$25)+('04_DCF_Valuation'!$F$11*(1+C$28)/($A29-C$28))*'04_DCF_Valuation'!$F$24</x:f>
      </x:c>
      <x:c r="D29" s="1138" t="n">
        <x:f>SUM('04_DCF_Valuation'!$B$25:$F$25)+('04_DCF_Valuation'!$F$11*(1+D$28)/($A29-D$28))*'04_DCF_Valuation'!$F$24</x:f>
      </x:c>
      <x:c r="E29" s="1138" t="n">
        <x:f>SUM('04_DCF_Valuation'!$B$25:$F$25)+('04_DCF_Valuation'!$F$11*(1+E$28)/($A29-E$28))*'04_DCF_Valuation'!$F$24</x:f>
      </x:c>
      <x:c r="F29" s="1138" t="n">
        <x:f>SUM('04_DCF_Valuation'!$B$25:$F$25)+('04_DCF_Valuation'!$F$11*(1+F$28)/($A29-F$28))*'04_DCF_Valuation'!$F$24</x:f>
      </x:c>
      <x:c r="G29" s="1141" t="n">
        <x:f>SUM('04_DCF_Valuation'!$B$25:$F$25)+('04_DCF_Valuation'!$F$11*(1+G$28)/($A29-G$28))*'04_DCF_Valuation'!$F$24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 t="n">
        <x:v>0.08</x:v>
      </x:c>
      <x:c r="B30" s="1138" t="n">
        <x:f>SUM('04_DCF_Valuation'!$B$25:$F$25)+('04_DCF_Valuation'!$F$11*(1+B$28)/($A30-B$28))*'04_DCF_Valuation'!$F$24</x:f>
      </x:c>
      <x:c r="C30" s="1138" t="n">
        <x:f>SUM('04_DCF_Valuation'!$B$25:$F$25)+('04_DCF_Valuation'!$F$11*(1+C$28)/($A30-C$28))*'04_DCF_Valuation'!$F$24</x:f>
      </x:c>
      <x:c r="D30" s="1138" t="n">
        <x:f>SUM('04_DCF_Valuation'!$B$25:$F$25)+('04_DCF_Valuation'!$F$11*(1+D$28)/($A30-D$28))*'04_DCF_Valuation'!$F$24</x:f>
      </x:c>
      <x:c r="E30" s="1138" t="n">
        <x:f>SUM('04_DCF_Valuation'!$B$25:$F$25)+('04_DCF_Valuation'!$F$11*(1+E$28)/($A30-E$28))*'04_DCF_Valuation'!$F$24</x:f>
      </x:c>
      <x:c r="F30" s="1138" t="n">
        <x:f>SUM('04_DCF_Valuation'!$B$25:$F$25)+('04_DCF_Valuation'!$F$11*(1+F$28)/($A30-F$28))*'04_DCF_Valuation'!$F$24</x:f>
      </x:c>
      <x:c r="G30" s="1141" t="n">
        <x:f>SUM('04_DCF_Valuation'!$B$25:$F$25)+('04_DCF_Valuation'!$F$11*(1+G$28)/($A30-G$28))*'04_DCF_Valuation'!$F$24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 t="n">
        <x:v>0.085</x:v>
      </x:c>
      <x:c r="B31" s="1138" t="n">
        <x:f>SUM('04_DCF_Valuation'!$B$25:$F$25)+('04_DCF_Valuation'!$F$11*(1+B$28)/($A31-B$28))*'04_DCF_Valuation'!$F$24</x:f>
      </x:c>
      <x:c r="C31" s="1138" t="n">
        <x:f>SUM('04_DCF_Valuation'!$B$25:$F$25)+('04_DCF_Valuation'!$F$11*(1+C$28)/($A31-C$28))*'04_DCF_Valuation'!$F$24</x:f>
      </x:c>
      <x:c r="D31" s="1138" t="n">
        <x:f>SUM('04_DCF_Valuation'!$B$25:$F$25)+('04_DCF_Valuation'!$F$11*(1+D$28)/($A31-D$28))*'04_DCF_Valuation'!$F$24</x:f>
      </x:c>
      <x:c r="E31" s="1138" t="n">
        <x:f>SUM('04_DCF_Valuation'!$B$25:$F$25)+('04_DCF_Valuation'!$F$11*(1+E$28)/($A31-E$28))*'04_DCF_Valuation'!$F$24</x:f>
      </x:c>
      <x:c r="F31" s="1138" t="n">
        <x:f>SUM('04_DCF_Valuation'!$B$25:$F$25)+('04_DCF_Valuation'!$F$11*(1+F$28)/($A31-F$28))*'04_DCF_Valuation'!$F$24</x:f>
      </x:c>
      <x:c r="G31" s="1141" t="n">
        <x:f>SUM('04_DCF_Valuation'!$B$25:$F$25)+('04_DCF_Valuation'!$F$11*(1+G$28)/($A31-G$28))*'04_DCF_Valuation'!$F$24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 t="n">
        <x:v>0.09</x:v>
      </x:c>
      <x:c r="B32" s="1138" t="n">
        <x:f>SUM('04_DCF_Valuation'!$B$25:$F$25)+('04_DCF_Valuation'!$F$11*(1+B$28)/($A32-B$28))*'04_DCF_Valuation'!$F$24</x:f>
      </x:c>
      <x:c r="C32" s="1138" t="n">
        <x:f>SUM('04_DCF_Valuation'!$B$25:$F$25)+('04_DCF_Valuation'!$F$11*(1+C$28)/($A32-C$28))*'04_DCF_Valuation'!$F$24</x:f>
      </x:c>
      <x:c r="D32" s="1138" t="n">
        <x:f>SUM('04_DCF_Valuation'!$B$25:$F$25)+('04_DCF_Valuation'!$F$11*(1+D$28)/($A32-D$28))*'04_DCF_Valuation'!$F$24</x:f>
      </x:c>
      <x:c r="E32" s="1138" t="n">
        <x:f>SUM('04_DCF_Valuation'!$B$25:$F$25)+('04_DCF_Valuation'!$F$11*(1+E$28)/($A32-E$28))*'04_DCF_Valuation'!$F$24</x:f>
      </x:c>
      <x:c r="F32" s="1138" t="n">
        <x:f>SUM('04_DCF_Valuation'!$B$25:$F$25)+('04_DCF_Valuation'!$F$11*(1+F$28)/($A32-F$28))*'04_DCF_Valuation'!$F$24</x:f>
      </x:c>
      <x:c r="G32" s="1141" t="n">
        <x:f>SUM('04_DCF_Valuation'!$B$25:$F$25)+('04_DCF_Valuation'!$F$11*(1+G$28)/($A32-G$28))*'04_DCF_Valuation'!$F$24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 t="n">
        <x:v>0.095</x:v>
      </x:c>
      <x:c r="B33" s="1138" t="n">
        <x:f>SUM('04_DCF_Valuation'!$B$25:$F$25)+('04_DCF_Valuation'!$F$11*(1+B$28)/($A33-B$28))*'04_DCF_Valuation'!$F$24</x:f>
      </x:c>
      <x:c r="C33" s="1138" t="n">
        <x:f>SUM('04_DCF_Valuation'!$B$25:$F$25)+('04_DCF_Valuation'!$F$11*(1+C$28)/($A33-C$28))*'04_DCF_Valuation'!$F$24</x:f>
      </x:c>
      <x:c r="D33" s="1138" t="n">
        <x:f>SUM('04_DCF_Valuation'!$B$25:$F$25)+('04_DCF_Valuation'!$F$11*(1+D$28)/($A33-D$28))*'04_DCF_Valuation'!$F$24</x:f>
      </x:c>
      <x:c r="E33" s="1138" t="n">
        <x:f>SUM('04_DCF_Valuation'!$B$25:$F$25)+('04_DCF_Valuation'!$F$11*(1+E$28)/($A33-E$28))*'04_DCF_Valuation'!$F$24</x:f>
      </x:c>
      <x:c r="F33" s="1138" t="n">
        <x:f>SUM('04_DCF_Valuation'!$B$25:$F$25)+('04_DCF_Valuation'!$F$11*(1+F$28)/($A33-F$28))*'04_DCF_Valuation'!$F$24</x:f>
      </x:c>
      <x:c r="G33" s="1141" t="n">
        <x:f>SUM('04_DCF_Valuation'!$B$25:$F$25)+('04_DCF_Valuation'!$F$11*(1+G$28)/($A33-G$28))*'04_DCF_Valuation'!$F$24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 t="n">
        <x:v>0.1</x:v>
      </x:c>
      <x:c r="B34" s="1142" t="n">
        <x:f>SUM('04_DCF_Valuation'!$B$25:$F$25)+('04_DCF_Valuation'!$F$11*(1+B$28)/($A34-B$28))*'04_DCF_Valuation'!$F$24</x:f>
      </x:c>
      <x:c r="C34" s="1142" t="n">
        <x:f>SUM('04_DCF_Valuation'!$B$25:$F$25)+('04_DCF_Valuation'!$F$11*(1+C$28)/($A34-C$28))*'04_DCF_Valuation'!$F$24</x:f>
      </x:c>
      <x:c r="D34" s="1142" t="n">
        <x:f>SUM('04_DCF_Valuation'!$B$25:$F$25)+('04_DCF_Valuation'!$F$11*(1+D$28)/($A34-D$28))*'04_DCF_Valuation'!$F$24</x:f>
      </x:c>
      <x:c r="E34" s="1142" t="n">
        <x:f>SUM('04_DCF_Valuation'!$B$25:$F$25)+('04_DCF_Valuation'!$F$11*(1+E$28)/($A34-E$28))*'04_DCF_Valuation'!$F$24</x:f>
      </x:c>
      <x:c r="F34" s="1142" t="n">
        <x:f>SUM('04_DCF_Valuation'!$B$25:$F$25)+('04_DCF_Valuation'!$F$11*(1+F$28)/($A34-F$28))*'04_DCF_Valuation'!$F$24</x:f>
      </x:c>
      <x:c r="G34" s="1143" t="n">
        <x:f>SUM('04_DCF_Valuation'!$B$25:$F$25)+('04_DCF_Valuation'!$F$11*(1+G$28)/($A34-G$28))*'04_DCF_Valuation'!$F$24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 t="n">
        <x:v>0.015</x:v>
      </x:c>
      <x:c r="C40" s="1129" t="n">
        <x:v>0.02</x:v>
      </x:c>
      <x:c r="D40" s="1129" t="n">
        <x:v>0.025</x:v>
      </x:c>
      <x:c r="E40" s="1129" t="n">
        <x:v>0.03</x:v>
      </x:c>
      <x:c r="F40" s="1129" t="n">
        <x:v>0.035</x:v>
      </x:c>
      <x:c r="G40" s="1130" t="n">
        <x:v>0.04</x:v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 t="n">
        <x:v>0.075</x:v>
      </x:c>
      <x:c r="B41" s="1140" t="n">
        <x:f>((SUM('04_DCF_Valuation'!$B$25:$F$25)+('04_DCF_Valuation'!$F$11*(1+B$40)/($A41-B$40))*'04_DCF_Valuation'!$F$24-'04_DCF_Valuation'!$E$34)/'04_DCF_Valuation'!$H$29)/'00_Dashboard'!$B$10-1</x:f>
      </x:c>
      <x:c r="C41" s="1140" t="n">
        <x:f>((SUM('04_DCF_Valuation'!$B$25:$F$25)+('04_DCF_Valuation'!$F$11*(1+C$40)/($A41-C$40))*'04_DCF_Valuation'!$F$24-'04_DCF_Valuation'!$E$34)/'04_DCF_Valuation'!$H$29)/'00_Dashboard'!$B$10-1</x:f>
      </x:c>
      <x:c r="D41" s="1140" t="n">
        <x:f>((SUM('04_DCF_Valuation'!$B$25:$F$25)+('04_DCF_Valuation'!$F$11*(1+D$40)/($A41-D$40))*'04_DCF_Valuation'!$F$24-'04_DCF_Valuation'!$E$34)/'04_DCF_Valuation'!$H$29)/'00_Dashboard'!$B$10-1</x:f>
      </x:c>
      <x:c r="E41" s="1140" t="n">
        <x:f>((SUM('04_DCF_Valuation'!$B$25:$F$25)+('04_DCF_Valuation'!$F$11*(1+E$40)/($A41-E$40))*'04_DCF_Valuation'!$F$24-'04_DCF_Valuation'!$E$34)/'04_DCF_Valuation'!$H$29)/'00_Dashboard'!$B$10-1</x:f>
      </x:c>
      <x:c r="F41" s="1140" t="n">
        <x:f>((SUM('04_DCF_Valuation'!$B$25:$F$25)+('04_DCF_Valuation'!$F$11*(1+F$40)/($A41-F$40))*'04_DCF_Valuation'!$F$24-'04_DCF_Valuation'!$E$34)/'04_DCF_Valuation'!$H$29)/'00_Dashboard'!$B$10-1</x:f>
      </x:c>
      <x:c r="G41" s="1144" t="n">
        <x:f>((SUM('04_DCF_Valuation'!$B$25:$F$25)+('04_DCF_Valuation'!$F$11*(1+G$40)/($A41-G$40))*'04_DCF_Valuation'!$F$24-'04_DCF_Valuation'!$E$34)/'04_DCF_Valuation'!$H$29)/'00_Dashboard'!$B$10-1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 t="n">
        <x:v>0.08</x:v>
      </x:c>
      <x:c r="B42" s="1140" t="n">
        <x:f>((SUM('04_DCF_Valuation'!$B$25:$F$25)+('04_DCF_Valuation'!$F$11*(1+B$40)/($A42-B$40))*'04_DCF_Valuation'!$F$24-'04_DCF_Valuation'!$E$34)/'04_DCF_Valuation'!$H$29)/'00_Dashboard'!$B$10-1</x:f>
      </x:c>
      <x:c r="C42" s="1140" t="n">
        <x:f>((SUM('04_DCF_Valuation'!$B$25:$F$25)+('04_DCF_Valuation'!$F$11*(1+C$40)/($A42-C$40))*'04_DCF_Valuation'!$F$24-'04_DCF_Valuation'!$E$34)/'04_DCF_Valuation'!$H$29)/'00_Dashboard'!$B$10-1</x:f>
      </x:c>
      <x:c r="D42" s="1140" t="n">
        <x:f>((SUM('04_DCF_Valuation'!$B$25:$F$25)+('04_DCF_Valuation'!$F$11*(1+D$40)/($A42-D$40))*'04_DCF_Valuation'!$F$24-'04_DCF_Valuation'!$E$34)/'04_DCF_Valuation'!$H$29)/'00_Dashboard'!$B$10-1</x:f>
      </x:c>
      <x:c r="E42" s="1140" t="n">
        <x:f>((SUM('04_DCF_Valuation'!$B$25:$F$25)+('04_DCF_Valuation'!$F$11*(1+E$40)/($A42-E$40))*'04_DCF_Valuation'!$F$24-'04_DCF_Valuation'!$E$34)/'04_DCF_Valuation'!$H$29)/'00_Dashboard'!$B$10-1</x:f>
      </x:c>
      <x:c r="F42" s="1140" t="n">
        <x:f>((SUM('04_DCF_Valuation'!$B$25:$F$25)+('04_DCF_Valuation'!$F$11*(1+F$40)/($A42-F$40))*'04_DCF_Valuation'!$F$24-'04_DCF_Valuation'!$E$34)/'04_DCF_Valuation'!$H$29)/'00_Dashboard'!$B$10-1</x:f>
      </x:c>
      <x:c r="G42" s="1144" t="n">
        <x:f>((SUM('04_DCF_Valuation'!$B$25:$F$25)+('04_DCF_Valuation'!$F$11*(1+G$40)/($A42-G$40))*'04_DCF_Valuation'!$F$24-'04_DCF_Valuation'!$E$34)/'04_DCF_Valuation'!$H$29)/'00_Dashboard'!$B$10-1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 t="n">
        <x:v>0.085</x:v>
      </x:c>
      <x:c r="B43" s="1140" t="n">
        <x:f>((SUM('04_DCF_Valuation'!$B$25:$F$25)+('04_DCF_Valuation'!$F$11*(1+B$40)/($A43-B$40))*'04_DCF_Valuation'!$F$24-'04_DCF_Valuation'!$E$34)/'04_DCF_Valuation'!$H$29)/'00_Dashboard'!$B$10-1</x:f>
      </x:c>
      <x:c r="C43" s="1140" t="n">
        <x:f>((SUM('04_DCF_Valuation'!$B$25:$F$25)+('04_DCF_Valuation'!$F$11*(1+C$40)/($A43-C$40))*'04_DCF_Valuation'!$F$24-'04_DCF_Valuation'!$E$34)/'04_DCF_Valuation'!$H$29)/'00_Dashboard'!$B$10-1</x:f>
      </x:c>
      <x:c r="D43" s="1140" t="n">
        <x:f>((SUM('04_DCF_Valuation'!$B$25:$F$25)+('04_DCF_Valuation'!$F$11*(1+D$40)/($A43-D$40))*'04_DCF_Valuation'!$F$24-'04_DCF_Valuation'!$E$34)/'04_DCF_Valuation'!$H$29)/'00_Dashboard'!$B$10-1</x:f>
      </x:c>
      <x:c r="E43" s="1140" t="n">
        <x:f>((SUM('04_DCF_Valuation'!$B$25:$F$25)+('04_DCF_Valuation'!$F$11*(1+E$40)/($A43-E$40))*'04_DCF_Valuation'!$F$24-'04_DCF_Valuation'!$E$34)/'04_DCF_Valuation'!$H$29)/'00_Dashboard'!$B$10-1</x:f>
      </x:c>
      <x:c r="F43" s="1140" t="n">
        <x:f>((SUM('04_DCF_Valuation'!$B$25:$F$25)+('04_DCF_Valuation'!$F$11*(1+F$40)/($A43-F$40))*'04_DCF_Valuation'!$F$24-'04_DCF_Valuation'!$E$34)/'04_DCF_Valuation'!$H$29)/'00_Dashboard'!$B$10-1</x:f>
      </x:c>
      <x:c r="G43" s="1144" t="n">
        <x:f>((SUM('04_DCF_Valuation'!$B$25:$F$25)+('04_DCF_Valuation'!$F$11*(1+G$40)/($A43-G$40))*'04_DCF_Valuation'!$F$24-'04_DCF_Valuation'!$E$34)/'04_DCF_Valuation'!$H$29)/'00_Dashboard'!$B$10-1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 t="n">
        <x:v>0.09</x:v>
      </x:c>
      <x:c r="B44" s="1140" t="n">
        <x:f>((SUM('04_DCF_Valuation'!$B$25:$F$25)+('04_DCF_Valuation'!$F$11*(1+B$40)/($A44-B$40))*'04_DCF_Valuation'!$F$24-'04_DCF_Valuation'!$E$34)/'04_DCF_Valuation'!$H$29)/'00_Dashboard'!$B$10-1</x:f>
      </x:c>
      <x:c r="C44" s="1140" t="n">
        <x:f>((SUM('04_DCF_Valuation'!$B$25:$F$25)+('04_DCF_Valuation'!$F$11*(1+C$40)/($A44-C$40))*'04_DCF_Valuation'!$F$24-'04_DCF_Valuation'!$E$34)/'04_DCF_Valuation'!$H$29)/'00_Dashboard'!$B$10-1</x:f>
      </x:c>
      <x:c r="D44" s="1140" t="n">
        <x:f>((SUM('04_DCF_Valuation'!$B$25:$F$25)+('04_DCF_Valuation'!$F$11*(1+D$40)/($A44-D$40))*'04_DCF_Valuation'!$F$24-'04_DCF_Valuation'!$E$34)/'04_DCF_Valuation'!$H$29)/'00_Dashboard'!$B$10-1</x:f>
      </x:c>
      <x:c r="E44" s="1140" t="n">
        <x:f>((SUM('04_DCF_Valuation'!$B$25:$F$25)+('04_DCF_Valuation'!$F$11*(1+E$40)/($A44-E$40))*'04_DCF_Valuation'!$F$24-'04_DCF_Valuation'!$E$34)/'04_DCF_Valuation'!$H$29)/'00_Dashboard'!$B$10-1</x:f>
      </x:c>
      <x:c r="F44" s="1140" t="n">
        <x:f>((SUM('04_DCF_Valuation'!$B$25:$F$25)+('04_DCF_Valuation'!$F$11*(1+F$40)/($A44-F$40))*'04_DCF_Valuation'!$F$24-'04_DCF_Valuation'!$E$34)/'04_DCF_Valuation'!$H$29)/'00_Dashboard'!$B$10-1</x:f>
      </x:c>
      <x:c r="G44" s="1144" t="n">
        <x:f>((SUM('04_DCF_Valuation'!$B$25:$F$25)+('04_DCF_Valuation'!$F$11*(1+G$40)/($A44-G$40))*'04_DCF_Valuation'!$F$24-'04_DCF_Valuation'!$E$34)/'04_DCF_Valuation'!$H$29)/'00_Dashboard'!$B$10-1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 t="n">
        <x:v>0.095</x:v>
      </x:c>
      <x:c r="B45" s="1140" t="n">
        <x:f>((SUM('04_DCF_Valuation'!$B$25:$F$25)+('04_DCF_Valuation'!$F$11*(1+B$40)/($A45-B$40))*'04_DCF_Valuation'!$F$24-'04_DCF_Valuation'!$E$34)/'04_DCF_Valuation'!$H$29)/'00_Dashboard'!$B$10-1</x:f>
      </x:c>
      <x:c r="C45" s="1140" t="n">
        <x:f>((SUM('04_DCF_Valuation'!$B$25:$F$25)+('04_DCF_Valuation'!$F$11*(1+C$40)/($A45-C$40))*'04_DCF_Valuation'!$F$24-'04_DCF_Valuation'!$E$34)/'04_DCF_Valuation'!$H$29)/'00_Dashboard'!$B$10-1</x:f>
      </x:c>
      <x:c r="D45" s="1140" t="n">
        <x:f>((SUM('04_DCF_Valuation'!$B$25:$F$25)+('04_DCF_Valuation'!$F$11*(1+D$40)/($A45-D$40))*'04_DCF_Valuation'!$F$24-'04_DCF_Valuation'!$E$34)/'04_DCF_Valuation'!$H$29)/'00_Dashboard'!$B$10-1</x:f>
      </x:c>
      <x:c r="E45" s="1140" t="n">
        <x:f>((SUM('04_DCF_Valuation'!$B$25:$F$25)+('04_DCF_Valuation'!$F$11*(1+E$40)/($A45-E$40))*'04_DCF_Valuation'!$F$24-'04_DCF_Valuation'!$E$34)/'04_DCF_Valuation'!$H$29)/'00_Dashboard'!$B$10-1</x:f>
      </x:c>
      <x:c r="F45" s="1140" t="n">
        <x:f>((SUM('04_DCF_Valuation'!$B$25:$F$25)+('04_DCF_Valuation'!$F$11*(1+F$40)/($A45-F$40))*'04_DCF_Valuation'!$F$24-'04_DCF_Valuation'!$E$34)/'04_DCF_Valuation'!$H$29)/'00_Dashboard'!$B$10-1</x:f>
      </x:c>
      <x:c r="G45" s="1144" t="n">
        <x:f>((SUM('04_DCF_Valuation'!$B$25:$F$25)+('04_DCF_Valuation'!$F$11*(1+G$40)/($A45-G$40))*'04_DCF_Valuation'!$F$24-'04_DCF_Valuation'!$E$34)/'04_DCF_Valuation'!$H$29)/'00_Dashboard'!$B$10-1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 t="n">
        <x:v>0.1</x:v>
      </x:c>
      <x:c r="B46" s="1145" t="n">
        <x:f>((SUM('04_DCF_Valuation'!$B$25:$F$25)+('04_DCF_Valuation'!$F$11*(1+B$40)/($A46-B$40))*'04_DCF_Valuation'!$F$24-'04_DCF_Valuation'!$E$34)/'04_DCF_Valuation'!$H$29)/'00_Dashboard'!$B$10-1</x:f>
      </x:c>
      <x:c r="C46" s="1145" t="n">
        <x:f>((SUM('04_DCF_Valuation'!$B$25:$F$25)+('04_DCF_Valuation'!$F$11*(1+C$40)/($A46-C$40))*'04_DCF_Valuation'!$F$24-'04_DCF_Valuation'!$E$34)/'04_DCF_Valuation'!$H$29)/'00_Dashboard'!$B$10-1</x:f>
      </x:c>
      <x:c r="D46" s="1145" t="n">
        <x:f>((SUM('04_DCF_Valuation'!$B$25:$F$25)+('04_DCF_Valuation'!$F$11*(1+D$40)/($A46-D$40))*'04_DCF_Valuation'!$F$24-'04_DCF_Valuation'!$E$34)/'04_DCF_Valuation'!$H$29)/'00_Dashboard'!$B$10-1</x:f>
      </x:c>
      <x:c r="E46" s="1145" t="n">
        <x:f>((SUM('04_DCF_Valuation'!$B$25:$F$25)+('04_DCF_Valuation'!$F$11*(1+E$40)/($A46-E$40))*'04_DCF_Valuation'!$F$24-'04_DCF_Valuation'!$E$34)/'04_DCF_Valuation'!$H$29)/'00_Dashboard'!$B$10-1</x:f>
      </x:c>
      <x:c r="F46" s="1145" t="n">
        <x:f>((SUM('04_DCF_Valuation'!$B$25:$F$25)+('04_DCF_Valuation'!$F$11*(1+F$40)/($A46-F$40))*'04_DCF_Valuation'!$F$24-'04_DCF_Valuation'!$E$34)/'04_DCF_Valuation'!$H$29)/'00_Dashboard'!$B$10-1</x:f>
      </x:c>
      <x:c r="G46" s="1146" t="n">
        <x:f>((SUM('04_DCF_Valuation'!$B$25:$F$25)+('04_DCF_Valuation'!$F$11*(1+G$40)/($A46-G$40))*'04_DCF_Valuation'!$F$24-'04_DCF_Valuation'!$E$34)/'04_DCF_Valuation'!$H$29)/'00_Dashboard'!$B$10-1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F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Note</x:v>
      </x:c>
      <x:c r="K6" s="335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 t="n">
        <x:f>B7/C7</x:f>
      </x:c>
      <x:c r="G7" s="1148" t="n">
        <x:f>B7/D7</x:f>
      </x:c>
      <x:c r="H7" s="1148" t="n">
        <x:f>B7/E7</x:f>
      </x:c>
      <x:c r="I7" s="810" t="str">
        <x:v>UK</x:v>
      </x:c>
      <x:c r="J7" s="810" t="str">
        <x:v>Illustrative</x:v>
      </x:c>
      <x:c r="K7" s="335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 t="n">
        <x:f>B8/C8</x:f>
      </x:c>
      <x:c r="G8" s="1148" t="n">
        <x:f>B8/D8</x:f>
      </x:c>
      <x:c r="H8" s="1148" t="n">
        <x:f>B8/E8</x:f>
      </x:c>
      <x:c r="I8" s="810" t="str">
        <x:v>US</x:v>
      </x:c>
      <x:c r="J8" s="810" t="str">
        <x:v>Illustrative</x:v>
      </x:c>
      <x:c r="K8" s="335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 t="n">
        <x:f>B9/C9</x:f>
      </x:c>
      <x:c r="G9" s="1148" t="n">
        <x:f>B9/D9</x:f>
      </x:c>
      <x:c r="H9" s="1148" t="n">
        <x:f>B9/E9</x:f>
      </x:c>
      <x:c r="I9" s="810" t="str">
        <x:v>EU</x:v>
      </x:c>
      <x:c r="J9" s="810" t="str">
        <x:v>Illustrative</x:v>
      </x:c>
      <x:c r="K9" s="335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 t="n">
        <x:f>B10/C10</x:f>
      </x:c>
      <x:c r="G10" s="1148" t="n">
        <x:f>B10/D10</x:f>
      </x:c>
      <x:c r="H10" s="1148" t="n">
        <x:f>B10/E10</x:f>
      </x:c>
      <x:c r="I10" s="810" t="str">
        <x:v>US</x:v>
      </x:c>
      <x:c r="J10" s="810" t="str">
        <x:v>Illustrative</x:v>
      </x:c>
      <x:c r="K10" s="335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 t="n">
        <x:f>MIN(H41:H45)</x:f>
      </x:c>
      <x:c r="H49" s="1148" t="n">
        <x:f>MIN(J41:J45)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 t="n">
        <x:f>QUARTILE(H41:H45,1)</x:f>
      </x:c>
      <x:c r="H50" s="1148" t="n">
        <x:f>QUARTILE(J41:J45,1)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 t="n">
        <x:f>MEDIAN(H41:H45)</x:f>
      </x:c>
      <x:c r="H51" s="1148" t="n">
        <x:f>MEDIAN(J41:J45)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 t="n">
        <x:f>QUARTILE(H41:H45,3)</x:f>
      </x:c>
      <x:c r="H52" s="1148" t="n">
        <x:f>QUARTILE(J41:J45,3)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 t="n">
        <x:f>B58*C58</x:f>
      </x:c>
      <x:c r="E58" s="1094" t="n">
        <x:f>'04_DCF_Valuation'!E34</x:f>
      </x:c>
      <x:c r="F58" s="1089" t="n">
        <x:f>D58-E58</x:f>
      </x:c>
      <x:c r="G58" s="1094" t="n">
        <x:f>'01_Inputs_Historicals'!C67</x:f>
      </x:c>
      <x:c r="H58" s="1125" t="n">
        <x:f>F58/G58</x:f>
      </x:c>
      <x:c r="I58" s="1152" t="n">
        <x:f>'00_Dashboard'!B10</x:f>
      </x:c>
      <x:c r="J58" s="1108" t="n">
        <x:f>H58/I58-1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 t="n">
        <x:f>B59*C59</x:f>
      </x:c>
      <x:c r="G59" s="1094" t="n">
        <x:f>'01_Inputs_Historicals'!C67</x:f>
      </x:c>
      <x:c r="H59" s="1125" t="n">
        <x:f>F59/G59</x:f>
      </x:c>
      <x:c r="I59" s="1152" t="n">
        <x:f>'00_Dashboard'!B10</x:f>
      </x:c>
      <x:c r="J59" s="1108" t="n">
        <x:f>H59/I59-1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 t="n">
        <x:f>MEDIAN(H58:H59)</x:f>
      </x:c>
      <x:c r="I60" s="1152" t="n">
        <x:f>'00_Dashboard'!B10</x:f>
      </x:c>
      <x:c r="J60" s="1108" t="n">
        <x:f>H60/I60-1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 t="n">
        <x:f>('03_3_Statement_Model'!D15*G50-'04_DCF_Valuation'!E34)/'01_Inputs_Historicals'!C67</x:f>
      </x:c>
      <x:c r="C68" s="1125" t="n">
        <x:f>('03_3_Statement_Model'!D15*G51-'04_DCF_Valuation'!$E$34)/'01_Inputs_Historicals'!$C$67</x:f>
      </x:c>
      <x:c r="D68" s="1152" t="n">
        <x:f>('03_3_Statement_Model'!D15*G52-'04_DCF_Valuation'!E34)/'01_Inputs_Historicals'!C67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 t="str">
        <x:f>IF(MIN(H41:H45)&gt;0,"OK","CHECK")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 t="str">
        <x:f>IF(AND(G50&lt;=G51,G51&lt;=G52),"OK","CHECK")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 t="str">
        <x:v>Forecasting Toolkit — FTE &amp; Contractor Staffing</x:v>
      </x:c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 t="str">
        <x:v>Month</x:v>
      </x:c>
      <x:c r="B136" s="817" t="str">
        <x:v>FTEs</x:v>
      </x:c>
      <x:c r="C136" s="817" t="str">
        <x:v>Contractors</x:v>
      </x:c>
      <x:c r="D136" s="817" t="str">
        <x:v>Total Staff</x:v>
      </x:c>
      <x:c r="E136" s="817" t="str">
        <x:v>FTE Cost</x:v>
      </x:c>
      <x:c r="F136" s="817" t="str">
        <x:v>Contractor Cost</x:v>
      </x:c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 t="str">
        <x:v>January</x:v>
      </x:c>
      <x:c r="B137" s="1174" t="n">
        <x:v>50</x:v>
      </x:c>
      <x:c r="C137" s="1174" t="n">
        <x:v>100</x:v>
      </x:c>
      <x:c r="D137" s="1169" t="n">
        <x:f>B137+C137</x:f>
      </x:c>
      <x:c r="E137" s="1169" t="n">
        <x:f>B137*$B$151</x:f>
      </x:c>
      <x:c r="F137" s="1169" t="n">
        <x:f>C137*$C$151</x:f>
      </x:c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 t="str">
        <x:v>February</x:v>
      </x:c>
      <x:c r="B138" s="1174" t="n">
        <x:v>50</x:v>
      </x:c>
      <x:c r="C138" s="1174" t="n">
        <x:v>120</x:v>
      </x:c>
      <x:c r="D138" s="1169" t="n">
        <x:f>B138+C138</x:f>
      </x:c>
      <x:c r="E138" s="1169" t="n">
        <x:f>B138*$B$151</x:f>
      </x:c>
      <x:c r="F138" s="1169" t="n">
        <x:f>C138*$C$151</x:f>
      </x:c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 t="str">
        <x:v>March</x:v>
      </x:c>
      <x:c r="B139" s="1174" t="n">
        <x:v>50</x:v>
      </x:c>
      <x:c r="C139" s="1174" t="n">
        <x:v>140</x:v>
      </x:c>
      <x:c r="D139" s="1169" t="n">
        <x:f>B139+C139</x:f>
      </x:c>
      <x:c r="E139" s="1169" t="n">
        <x:f>B139*$B$151</x:f>
      </x:c>
      <x:c r="F139" s="1169" t="n">
        <x:f>C139*$C$151</x:f>
      </x:c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 t="str">
        <x:v>April</x:v>
      </x:c>
      <x:c r="B140" s="1174" t="n">
        <x:v>50</x:v>
      </x:c>
      <x:c r="C140" s="1174" t="n">
        <x:v>80</x:v>
      </x:c>
      <x:c r="D140" s="1169" t="n">
        <x:f>B140+C140</x:f>
      </x:c>
      <x:c r="E140" s="1169" t="n">
        <x:f>B140*$B$151</x:f>
      </x:c>
      <x:c r="F140" s="1169" t="n">
        <x:f>C140*$C$151</x:f>
      </x:c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 t="str">
        <x:v>May</x:v>
      </x:c>
      <x:c r="B141" s="1174" t="n">
        <x:v>50</x:v>
      </x:c>
      <x:c r="C141" s="1174" t="n">
        <x:v>80</x:v>
      </x:c>
      <x:c r="D141" s="1169" t="n">
        <x:f>B141+C141</x:f>
      </x:c>
      <x:c r="E141" s="1169" t="n">
        <x:f>B141*$B$151</x:f>
      </x:c>
      <x:c r="F141" s="1169" t="n">
        <x:f>C141*$C$151</x:f>
      </x:c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 t="str">
        <x:v>June</x:v>
      </x:c>
      <x:c r="B142" s="1174" t="n">
        <x:v>50</x:v>
      </x:c>
      <x:c r="C142" s="1174" t="n">
        <x:v>60</x:v>
      </x:c>
      <x:c r="D142" s="1169" t="n">
        <x:f>B142+C142</x:f>
      </x:c>
      <x:c r="E142" s="1169" t="n">
        <x:f>B142*$B$151</x:f>
      </x:c>
      <x:c r="F142" s="1169" t="n">
        <x:f>C142*$C$151</x:f>
      </x:c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 t="str">
        <x:v>July</x:v>
      </x:c>
      <x:c r="B143" s="1174" t="n">
        <x:v>50</x:v>
      </x:c>
      <x:c r="C143" s="1174" t="n">
        <x:v>40</x:v>
      </x:c>
      <x:c r="D143" s="1169" t="n">
        <x:f>B143+C143</x:f>
      </x:c>
      <x:c r="E143" s="1169" t="n">
        <x:f>B143*$B$151</x:f>
      </x:c>
      <x:c r="F143" s="1169" t="n">
        <x:f>C143*$C$151</x:f>
      </x:c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 t="str">
        <x:v>August</x:v>
      </x:c>
      <x:c r="B144" s="1174" t="n">
        <x:v>50</x:v>
      </x:c>
      <x:c r="C144" s="1174" t="n">
        <x:v>40</x:v>
      </x:c>
      <x:c r="D144" s="1169" t="n">
        <x:f>B144+C144</x:f>
      </x:c>
      <x:c r="E144" s="1169" t="n">
        <x:f>B144*$B$151</x:f>
      </x:c>
      <x:c r="F144" s="1169" t="n">
        <x:f>C144*$C$151</x:f>
      </x:c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 t="str">
        <x:v>September</x:v>
      </x:c>
      <x:c r="B145" s="1174" t="n">
        <x:v>50</x:v>
      </x:c>
      <x:c r="C145" s="1174" t="n">
        <x:v>60</x:v>
      </x:c>
      <x:c r="D145" s="1169" t="n">
        <x:f>B145+C145</x:f>
      </x:c>
      <x:c r="E145" s="1169" t="n">
        <x:f>B145*$B$151</x:f>
      </x:c>
      <x:c r="F145" s="1169" t="n">
        <x:f>C145*$C$151</x:f>
      </x:c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 t="str">
        <x:v>October</x:v>
      </x:c>
      <x:c r="B146" s="1174" t="n">
        <x:v>50</x:v>
      </x:c>
      <x:c r="C146" s="1174" t="n">
        <x:v>80</x:v>
      </x:c>
      <x:c r="D146" s="1169" t="n">
        <x:f>B146+C146</x:f>
      </x:c>
      <x:c r="E146" s="1169" t="n">
        <x:f>B146*$B$151</x:f>
      </x:c>
      <x:c r="F146" s="1169" t="n">
        <x:f>C146*$C$151</x:f>
      </x:c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 t="str">
        <x:v>November</x:v>
      </x:c>
      <x:c r="B147" s="1174" t="n">
        <x:v>50</x:v>
      </x:c>
      <x:c r="C147" s="1174" t="n">
        <x:v>100</x:v>
      </x:c>
      <x:c r="D147" s="1169" t="n">
        <x:f>B147+C147</x:f>
      </x:c>
      <x:c r="E147" s="1169" t="n">
        <x:f>B147*$B$151</x:f>
      </x:c>
      <x:c r="F147" s="1169" t="n">
        <x:f>C147*$C$151</x:f>
      </x:c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 t="str">
        <x:v>December</x:v>
      </x:c>
      <x:c r="B148" s="1174" t="n">
        <x:v>50</x:v>
      </x:c>
      <x:c r="C148" s="1174" t="n">
        <x:v>120</x:v>
      </x:c>
      <x:c r="D148" s="1169" t="n">
        <x:f>B148+C148</x:f>
      </x:c>
      <x:c r="E148" s="1169" t="n">
        <x:f>B148*$B$151</x:f>
      </x:c>
      <x:c r="F148" s="1169" t="n">
        <x:f>C148*$C$151</x:f>
      </x:c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 t="str">
        <x:v>Total</x:v>
      </x:c>
      <x:c r="B150" s="1175" t="n">
        <x:f>SUM(B137:B148)</x:f>
      </x:c>
      <x:c r="C150" s="1175" t="n">
        <x:f>SUM(C137:C148)</x:f>
      </x:c>
      <x:c r="D150" s="1175" t="n">
        <x:f>SUM(D137:D148)</x:f>
      </x:c>
      <x:c r="E150" s="1175" t="n">
        <x:f>SUM(E137:E148)</x:f>
      </x:c>
      <x:c r="F150" s="1175" t="n">
        <x:f>SUM(F137:F148)</x:f>
      </x:c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 t="str">
        <x:v>Monthly Cost</x:v>
      </x:c>
      <x:c r="B151" s="1174" t="n">
        <x:v>4000</x:v>
      </x:c>
      <x:c r="C151" s="1174" t="n">
        <x:v>5000</x:v>
      </x:c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 t="str">
        <x:v>Total Personnel Cost</x:v>
      </x:c>
      <x:c r="B152" s="560"/>
      <x:c r="C152" s="560"/>
      <x:c r="D152" s="560"/>
      <x:c r="E152" s="560"/>
      <x:c r="F152" s="1176" t="n">
        <x:f>SUM(E150:F150)</x:f>
      </x:c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 t="str">
        <x:v>Forecasting Checks</x:v>
      </x:c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 t="str">
        <x:v>Total Staff = FTE + Contractors</x:v>
      </x:c>
      <x:c r="B155" s="406" t="str">
        <x:f>IF(SUMPRODUCT(--(D137:D148&lt;&gt;B137:B148+C137:C148))=0,"OK","CHECK")</x:f>
      </x:c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 t="str">
        <x:v>Personnel Cost Positive</x:v>
      </x:c>
      <x:c r="B156" s="810" t="str">
        <x:f>IF(F152&gt;0,"OK","CHECK")</x:f>
      </x:c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  <x:mergeCell ref="A134:H134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conditionalFormatting sqref="B155:B156">
    <x:cfRule type="expression" dxfId="82" priority="7">
      <x:formula>B155="OK"</x:formula>
    </x:cfRule>
    <x:cfRule type="expression" dxfId="83" priority="8">
      <x:formula>B155="CHECK"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